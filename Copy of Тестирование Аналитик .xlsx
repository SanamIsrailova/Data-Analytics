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Совмещеная" sheetId="2" r:id="rId5"/>
    <sheet state="visible" name="Pivot Table 6" sheetId="3" r:id="rId6"/>
    <sheet state="visible" name="23 неделя" sheetId="4" r:id="rId7"/>
    <sheet state="visible" name="Pivot Table 4" sheetId="5" r:id="rId8"/>
    <sheet state="visible" name="Лист2" sheetId="6" r:id="rId9"/>
  </sheets>
  <definedNames>
    <definedName hidden="1" localSheetId="3" name="_xlnm._FilterDatabase">'23 неделя'!$A$1:$C$20</definedName>
  </definedNames>
  <calcPr/>
  <pivotCaches>
    <pivotCache cacheId="0" r:id="rId10"/>
    <pivotCache cacheId="1" r:id="rId11"/>
  </pivotCaches>
  <extLst>
    <ext uri="GoogleSheetsCustomDataVersion2">
      <go:sheetsCustomData xmlns:go="http://customooxmlschemas.google.com/" r:id="rId12" roundtripDataChecksum="u79ry2j0GWHul+/d3/V+GFbPyliTyx+YjLKQS1tE48M="/>
    </ext>
  </extLst>
</workbook>
</file>

<file path=xl/sharedStrings.xml><?xml version="1.0" encoding="utf-8"?>
<sst xmlns="http://schemas.openxmlformats.org/spreadsheetml/2006/main" count="1667" uniqueCount="42">
  <si>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</si>
  <si>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</si>
  <si>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</si>
  <si>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</si>
  <si>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</si>
  <si>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</si>
  <si>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</si>
  <si>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</si>
  <si>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</si>
  <si>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</si>
  <si>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</si>
  <si>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</si>
  <si>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</si>
  <si>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</si>
  <si>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</si>
  <si>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</si>
  <si>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</si>
  <si>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</si>
  <si>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</si>
  <si>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</si>
  <si>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</si>
  <si>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</si>
  <si>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</si>
  <si>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</si>
  <si>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</si>
  <si>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</si>
  <si>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</si>
  <si>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 xml:space="preserve">Товарооборот </t>
  </si>
  <si>
    <t>Ранг</t>
  </si>
  <si>
    <t xml:space="preserve"> </t>
  </si>
  <si>
    <t>SUM of Товарооборот, руб</t>
  </si>
  <si>
    <t xml:space="preserve">AVERAGE of Товарооборот </t>
  </si>
  <si>
    <t>Grand Total</t>
  </si>
  <si>
    <t>SUM of Количество складов</t>
  </si>
  <si>
    <t>SUM of Товарооборот, шт</t>
  </si>
  <si>
    <t xml:space="preserve">SUM of Товарооборот </t>
  </si>
  <si>
    <t>18 Total</t>
  </si>
  <si>
    <t>19 Total</t>
  </si>
  <si>
    <t>20 Total</t>
  </si>
  <si>
    <t>21 Total</t>
  </si>
  <si>
    <t>22 Total</t>
  </si>
  <si>
    <t>23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</si>
</sst>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3" fontId="2" numFmtId="164" xfId="0" applyBorder="1" applyFill="1" applyFont="1" applyNumberFormat="1"/>
    <xf borderId="2" fillId="3" fontId="2" numFmtId="0" xfId="0" applyBorder="1" applyFont="1"/>
    <xf borderId="0" fillId="0" fontId="3" numFmtId="0" xfId="0" applyFont="1"/>
    <xf borderId="4" fillId="0" fontId="2" numFmtId="164" xfId="0" applyBorder="1" applyFont="1" applyNumberFormat="1"/>
    <xf borderId="5" fillId="0" fontId="2" numFmtId="0" xfId="0" applyBorder="1" applyFont="1"/>
    <xf borderId="6" fillId="0" fontId="2" numFmtId="164" xfId="0" applyBorder="1" applyFont="1" applyNumberFormat="1"/>
    <xf borderId="7" fillId="0" fontId="2" numFmtId="0" xfId="0" applyBorder="1" applyFont="1"/>
    <xf borderId="8" fillId="4" fontId="4" numFmtId="10" xfId="0" applyAlignment="1" applyBorder="1" applyFill="1" applyFont="1" applyNumberFormat="1">
      <alignment shrinkToFit="0" wrapText="1"/>
    </xf>
    <xf borderId="8" fillId="4" fontId="4" numFmtId="0" xfId="0" applyAlignment="1" applyBorder="1" applyFont="1">
      <alignment shrinkToFit="0" wrapText="1"/>
    </xf>
    <xf borderId="8" fillId="4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8" fillId="0" fontId="4" numFmtId="164" xfId="0" applyBorder="1" applyFont="1" applyNumberFormat="1"/>
    <xf borderId="8" fillId="0" fontId="4" numFmtId="0" xfId="0" applyBorder="1" applyFont="1"/>
    <xf borderId="0" fillId="0" fontId="4" numFmtId="0" xfId="0" applyFont="1"/>
    <xf borderId="0" fillId="0" fontId="4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Понедельная динамика товарооборота и товарооборота на склад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Сумма Товарооборот, руб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6'!$A$2:$A$8</c:f>
            </c:strRef>
          </c:cat>
          <c:val>
            <c:numRef>
              <c:f>'Pivot Table 6'!$B$2:$B$8</c:f>
              <c:numCache/>
            </c:numRef>
          </c:val>
          <c:smooth val="0"/>
        </c:ser>
        <c:axId val="264195654"/>
        <c:axId val="525856359"/>
      </c:lineChart>
      <c:catAx>
        <c:axId val="2641956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Неделя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856359"/>
      </c:catAx>
      <c:valAx>
        <c:axId val="525856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195654"/>
      </c:valAx>
      <c:lineChart>
        <c:varyColors val="0"/>
        <c:ser>
          <c:idx val="1"/>
          <c:order val="1"/>
          <c:tx>
            <c:v>средний Товарооборот на склад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6'!$A$2:$A$8</c:f>
            </c:strRef>
          </c:cat>
          <c:val>
            <c:numRef>
              <c:f>'Pivot Table 6'!$C$2:$C$8</c:f>
              <c:numCache/>
            </c:numRef>
          </c:val>
          <c:smooth val="0"/>
        </c:ser>
        <c:axId val="1871184100"/>
        <c:axId val="691281027"/>
      </c:lineChart>
      <c:catAx>
        <c:axId val="1871184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281027"/>
      </c:catAx>
      <c:valAx>
        <c:axId val="69128102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1841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133350</xdr:rowOff>
    </xdr:from>
    <xdr:ext cx="5715000" cy="3533775"/>
    <xdr:graphicFrame>
      <xdr:nvGraphicFramePr>
        <xdr:cNvPr id="208821196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05" sheet="Совмещеная"/>
  </cacheSource>
  <cacheFields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  <cacheField name="Товарооборот 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</sharedItems>
    </cacheField>
    <cacheField name="Ранг" numFmtId="0">
      <sharedItems containsSemiMixedTypes="0" containsString="0" containsNumber="1" containsInteger="1">
        <n v="16.0"/>
        <n v="8.0"/>
        <n v="9.0"/>
        <n v="7.0"/>
        <n v="5.0"/>
        <n v="6.0"/>
        <n v="14.0"/>
        <n v="13.0"/>
        <n v="10.0"/>
        <n v="2.0"/>
        <n v="1.0"/>
        <n v="11.0"/>
        <n v="12.0"/>
        <n v="3.0"/>
        <n v="4.0"/>
        <n v="15.0"/>
        <n v="17.0"/>
        <n v="1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05" sheet="Совмещеная"/>
  </cacheSource>
  <cacheFields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  <cacheField name="Товарооборот 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</sharedItems>
    </cacheField>
    <cacheField name="Ранг" numFmtId="0">
      <sharedItems containsSemiMixedTypes="0" containsString="0" containsNumber="1" containsInteger="1">
        <n v="16.0"/>
        <n v="8.0"/>
        <n v="9.0"/>
        <n v="7.0"/>
        <n v="5.0"/>
        <n v="6.0"/>
        <n v="14.0"/>
        <n v="13.0"/>
        <n v="10.0"/>
        <n v="2.0"/>
        <n v="1.0"/>
        <n v="11.0"/>
        <n v="12.0"/>
        <n v="3.0"/>
        <n v="4.0"/>
        <n v="15.0"/>
        <n v="17.0"/>
        <n v="18.0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C8" firstHeaderRow="0" firstDataRow="2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Неделя" axis="axisRow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  <pivotField name="Товарооборот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Ранг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7"/>
  </rowFields>
  <colFields>
    <field x="-2"/>
  </colFields>
  <dataFields>
    <dataField name="SUM of Товарооборот, руб" fld="3" baseField="0"/>
    <dataField name="AVERAGE of Товарооборот " fld="8" subtotal="average" baseField="0"/>
  </dataFields>
</pivotTableDefinition>
</file>

<file path=xl/pivotTables/pivotTable2.xml><?xml version="1.0" encoding="utf-8"?>
<pivotTableDefinition xmlns="http://schemas.openxmlformats.org/spreadsheetml/2006/main" name="23 неделя" cacheId="0" dataCaption="" compact="0" compactData="0">
  <location ref="A3:C22" firstHeaderRow="0" firstDataRow="2" firstDataCol="0" rowPageCount="1" colPageCount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descending">
      <items>
        <item x="17"/>
        <item x="15"/>
        <item x="16"/>
        <item x="3"/>
        <item x="5"/>
        <item x="6"/>
        <item x="0"/>
        <item x="10"/>
        <item x="9"/>
        <item x="14"/>
        <item x="4"/>
        <item x="12"/>
        <item x="13"/>
        <item x="11"/>
        <item x="1"/>
        <item x="8"/>
        <item x="2"/>
        <item x="7"/>
        <item t="default"/>
      </items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Неделя" axis="axisPage" compact="0" outline="0" multipleItemSelectionAllowed="1" showAll="0">
      <items>
        <item h="1" x="0"/>
        <item h="1" x="1"/>
        <item h="1" x="2"/>
        <item h="1" x="3"/>
        <item h="1" x="4"/>
        <item x="5"/>
        <item t="default"/>
      </items>
    </pivotField>
    <pivotField name="Товарооборот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Ранг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1"/>
  </rowFields>
  <colFields>
    <field x="-2"/>
  </colFields>
  <pageFields>
    <pageField fld="7"/>
  </pageFields>
  <dataFields>
    <dataField name="SUM of Товарооборот, руб" fld="3" showDataAs="percentOfTotal" baseField="0" numFmtId="10"/>
    <dataField name="SUM of Количество складов" fld="4" baseField="0"/>
  </dataFields>
</pivotTableDefinition>
</file>

<file path=xl/pivotTables/pivotTable3.xml><?xml version="1.0" encoding="utf-8"?>
<pivotTableDefinition xmlns="http://schemas.openxmlformats.org/spreadsheetml/2006/main" name="Pivot Table 4" cacheId="1" dataCaption="" compact="0" compactData="0">
  <location ref="A1:F100" firstHeaderRow="0" firstDataRow="3" firstDataCol="0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Row" compact="0" outline="0" multipleItemSelectionAllowed="1" showAll="0" sortType="ascending">
      <items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ame="Товарооборот, шт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Неделя" axis="axisRow" compact="0" outline="0" multipleItemSelectionAllowed="1" showAll="0" sortType="ascending">
      <items>
        <item x="4"/>
        <item x="3"/>
        <item x="1"/>
        <item x="2"/>
        <item x="0"/>
        <item x="5"/>
        <item t="default"/>
      </items>
    </pivotField>
    <pivotField name="Товарооборот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Ранг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7"/>
    <field x="1"/>
  </rowFields>
  <colFields>
    <field x="-2"/>
  </colFields>
  <dataFields>
    <dataField name="SUM of Товарооборот, шт" fld="2" baseField="0"/>
    <dataField name="SUM of Товарооборот, руб" fld="3" baseField="0"/>
    <dataField name="SUM of Количество складов" fld="4" baseField="0"/>
    <dataField name="SUM of Товарооборот 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3.43"/>
    <col customWidth="1" min="9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4.25" customHeight="1">
      <c r="A2" s="5">
        <v>43982.0</v>
      </c>
      <c r="B2" s="6" t="s">
        <v>9</v>
      </c>
      <c r="C2" s="6">
        <v>7944.0</v>
      </c>
      <c r="D2" s="6">
        <v>623971.5</v>
      </c>
      <c r="E2" s="7" t="str">
        <f>VLOOKUP(A2 , B2, 'Лист2'!A:E, 3, FALSE)</f>
        <v>#N/A</v>
      </c>
      <c r="F2" s="7"/>
      <c r="G2" s="7"/>
    </row>
    <row r="3" ht="14.25" customHeight="1">
      <c r="A3" s="8">
        <v>43981.0</v>
      </c>
      <c r="B3" s="9" t="s">
        <v>9</v>
      </c>
      <c r="C3" s="9">
        <v>10029.0</v>
      </c>
      <c r="D3" s="9">
        <v>787101.0</v>
      </c>
      <c r="E3" s="7"/>
      <c r="F3" s="7"/>
      <c r="G3" s="7"/>
    </row>
    <row r="4" ht="14.25" customHeight="1">
      <c r="A4" s="5">
        <v>43979.0</v>
      </c>
      <c r="B4" s="6" t="s">
        <v>9</v>
      </c>
      <c r="C4" s="6">
        <v>8536.5</v>
      </c>
      <c r="D4" s="6">
        <v>643944.0</v>
      </c>
      <c r="E4" s="7"/>
      <c r="F4" s="7"/>
      <c r="G4" s="7"/>
    </row>
    <row r="5" ht="14.25" customHeight="1">
      <c r="A5" s="8">
        <v>43967.0</v>
      </c>
      <c r="B5" s="9" t="s">
        <v>10</v>
      </c>
      <c r="C5" s="9">
        <v>38947.5</v>
      </c>
      <c r="D5" s="9">
        <v>3395892.0</v>
      </c>
      <c r="E5" s="7"/>
      <c r="F5" s="7"/>
      <c r="G5" s="7"/>
    </row>
    <row r="6" ht="14.25" customHeight="1">
      <c r="A6" s="5">
        <v>43970.0</v>
      </c>
      <c r="B6" s="6" t="s">
        <v>10</v>
      </c>
      <c r="C6" s="6">
        <v>31842.0</v>
      </c>
      <c r="D6" s="6">
        <v>2771116.5</v>
      </c>
      <c r="E6" s="7"/>
      <c r="F6" s="7"/>
      <c r="G6" s="7"/>
    </row>
    <row r="7" ht="14.25" customHeight="1">
      <c r="A7" s="8">
        <v>43968.0</v>
      </c>
      <c r="B7" s="9" t="s">
        <v>10</v>
      </c>
      <c r="C7" s="9">
        <v>32023.5</v>
      </c>
      <c r="D7" s="9">
        <v>2882458.5</v>
      </c>
      <c r="E7" s="7"/>
      <c r="F7" s="7"/>
      <c r="G7" s="7"/>
    </row>
    <row r="8" ht="14.25" customHeight="1">
      <c r="A8" s="5">
        <v>43960.0</v>
      </c>
      <c r="B8" s="6" t="s">
        <v>10</v>
      </c>
      <c r="C8" s="6">
        <v>31147.5</v>
      </c>
      <c r="D8" s="6">
        <v>2831019.0</v>
      </c>
      <c r="E8" s="7"/>
      <c r="F8" s="7"/>
      <c r="G8" s="7"/>
    </row>
    <row r="9" ht="14.25" customHeight="1">
      <c r="A9" s="8">
        <v>43955.0</v>
      </c>
      <c r="B9" s="9" t="s">
        <v>10</v>
      </c>
      <c r="C9" s="9">
        <v>25566.0</v>
      </c>
      <c r="D9" s="9">
        <v>2372310.0</v>
      </c>
      <c r="E9" s="7"/>
      <c r="F9" s="7"/>
      <c r="G9" s="7"/>
    </row>
    <row r="10" ht="14.25" customHeight="1">
      <c r="A10" s="5">
        <v>43950.0</v>
      </c>
      <c r="B10" s="6" t="s">
        <v>10</v>
      </c>
      <c r="C10" s="6">
        <v>29319.0</v>
      </c>
      <c r="D10" s="6">
        <v>2623480.5</v>
      </c>
      <c r="E10" s="7"/>
      <c r="F10" s="7"/>
      <c r="G10" s="7"/>
    </row>
    <row r="11" ht="14.25" customHeight="1">
      <c r="A11" s="8">
        <v>43953.0</v>
      </c>
      <c r="B11" s="9" t="s">
        <v>10</v>
      </c>
      <c r="C11" s="9">
        <v>29031.0</v>
      </c>
      <c r="D11" s="9">
        <v>2711247.0</v>
      </c>
      <c r="E11" s="7"/>
      <c r="F11" s="7"/>
      <c r="G11" s="7"/>
    </row>
    <row r="12" ht="14.25" customHeight="1">
      <c r="A12" s="5">
        <v>43977.0</v>
      </c>
      <c r="B12" s="6" t="s">
        <v>10</v>
      </c>
      <c r="C12" s="6">
        <v>33423.0</v>
      </c>
      <c r="D12" s="6">
        <v>2970330.0</v>
      </c>
      <c r="E12" s="7"/>
      <c r="F12" s="7"/>
      <c r="G12" s="7"/>
    </row>
    <row r="13" ht="14.25" customHeight="1">
      <c r="A13" s="8">
        <v>43952.0</v>
      </c>
      <c r="B13" s="9" t="s">
        <v>10</v>
      </c>
      <c r="C13" s="9">
        <v>32487.0</v>
      </c>
      <c r="D13" s="9">
        <v>3031254.0</v>
      </c>
      <c r="E13" s="7"/>
      <c r="F13" s="7"/>
      <c r="G13" s="7"/>
    </row>
    <row r="14" ht="14.25" customHeight="1">
      <c r="A14" s="5">
        <v>43963.0</v>
      </c>
      <c r="B14" s="6" t="s">
        <v>10</v>
      </c>
      <c r="C14" s="6">
        <v>28219.5</v>
      </c>
      <c r="D14" s="6">
        <v>2595778.5</v>
      </c>
      <c r="E14" s="7"/>
      <c r="F14" s="7"/>
      <c r="G14" s="7"/>
    </row>
    <row r="15" ht="14.25" customHeight="1">
      <c r="A15" s="8">
        <v>43972.0</v>
      </c>
      <c r="B15" s="9" t="s">
        <v>10</v>
      </c>
      <c r="C15" s="9">
        <v>31272.0</v>
      </c>
      <c r="D15" s="9">
        <v>2744382.0</v>
      </c>
      <c r="E15" s="7"/>
      <c r="F15" s="7"/>
      <c r="G15" s="7"/>
    </row>
    <row r="16" ht="14.25" customHeight="1">
      <c r="A16" s="5">
        <v>43971.0</v>
      </c>
      <c r="B16" s="6" t="s">
        <v>10</v>
      </c>
      <c r="C16" s="6">
        <v>34077.0</v>
      </c>
      <c r="D16" s="6">
        <v>2929330.5</v>
      </c>
      <c r="E16" s="7"/>
      <c r="F16" s="7"/>
      <c r="G16" s="7"/>
    </row>
    <row r="17" ht="14.25" customHeight="1">
      <c r="A17" s="8">
        <v>43956.0</v>
      </c>
      <c r="B17" s="9" t="s">
        <v>10</v>
      </c>
      <c r="C17" s="9">
        <v>31566.0</v>
      </c>
      <c r="D17" s="9">
        <v>2906763.0</v>
      </c>
      <c r="E17" s="7"/>
      <c r="F17" s="7"/>
      <c r="G17" s="7"/>
    </row>
    <row r="18" ht="14.25" customHeight="1">
      <c r="A18" s="5">
        <v>43949.0</v>
      </c>
      <c r="B18" s="6" t="s">
        <v>10</v>
      </c>
      <c r="C18" s="6">
        <v>26940.0</v>
      </c>
      <c r="D18" s="6">
        <v>2411587.5</v>
      </c>
      <c r="E18" s="7"/>
      <c r="F18" s="7"/>
      <c r="G18" s="7"/>
    </row>
    <row r="19" ht="14.25" customHeight="1">
      <c r="A19" s="8">
        <v>43964.0</v>
      </c>
      <c r="B19" s="9" t="s">
        <v>10</v>
      </c>
      <c r="C19" s="9">
        <v>29241.0</v>
      </c>
      <c r="D19" s="9">
        <v>2629782.0</v>
      </c>
      <c r="E19" s="7"/>
      <c r="F19" s="7"/>
      <c r="G19" s="7"/>
    </row>
    <row r="20" ht="14.25" customHeight="1">
      <c r="A20" s="5">
        <v>43954.0</v>
      </c>
      <c r="B20" s="6" t="s">
        <v>10</v>
      </c>
      <c r="C20" s="6">
        <v>26082.0</v>
      </c>
      <c r="D20" s="6">
        <v>2434914.0</v>
      </c>
      <c r="E20" s="7"/>
      <c r="F20" s="7"/>
      <c r="G20" s="7"/>
    </row>
    <row r="21" ht="14.25" customHeight="1">
      <c r="A21" s="8">
        <v>43957.0</v>
      </c>
      <c r="B21" s="9" t="s">
        <v>10</v>
      </c>
      <c r="C21" s="9">
        <v>32511.0</v>
      </c>
      <c r="D21" s="9">
        <v>2938623.0</v>
      </c>
      <c r="E21" s="7"/>
      <c r="F21" s="7"/>
      <c r="G21" s="7"/>
    </row>
    <row r="22" ht="14.25" customHeight="1">
      <c r="A22" s="5">
        <v>43974.0</v>
      </c>
      <c r="B22" s="6" t="s">
        <v>10</v>
      </c>
      <c r="C22" s="6">
        <v>42703.5</v>
      </c>
      <c r="D22" s="6">
        <v>3628726.5</v>
      </c>
      <c r="E22" s="7"/>
      <c r="F22" s="7"/>
      <c r="G22" s="7"/>
    </row>
    <row r="23" ht="14.25" customHeight="1">
      <c r="A23" s="8">
        <v>43976.0</v>
      </c>
      <c r="B23" s="9" t="s">
        <v>10</v>
      </c>
      <c r="C23" s="9">
        <v>35592.0</v>
      </c>
      <c r="D23" s="9">
        <v>3176580.0</v>
      </c>
      <c r="E23" s="7"/>
      <c r="F23" s="7"/>
      <c r="G23" s="7"/>
    </row>
    <row r="24" ht="14.25" customHeight="1">
      <c r="A24" s="5">
        <v>43951.0</v>
      </c>
      <c r="B24" s="6" t="s">
        <v>10</v>
      </c>
      <c r="C24" s="6">
        <v>30445.5</v>
      </c>
      <c r="D24" s="6">
        <v>2817196.5</v>
      </c>
      <c r="E24" s="7"/>
      <c r="F24" s="7"/>
      <c r="G24" s="7"/>
    </row>
    <row r="25" ht="14.25" customHeight="1">
      <c r="A25" s="8">
        <v>43961.0</v>
      </c>
      <c r="B25" s="9" t="s">
        <v>10</v>
      </c>
      <c r="C25" s="9">
        <v>36619.5</v>
      </c>
      <c r="D25" s="9">
        <v>3312967.5</v>
      </c>
      <c r="E25" s="7"/>
      <c r="F25" s="7"/>
      <c r="G25" s="7"/>
    </row>
    <row r="26" ht="14.25" customHeight="1">
      <c r="A26" s="5">
        <v>43959.0</v>
      </c>
      <c r="B26" s="6" t="s">
        <v>10</v>
      </c>
      <c r="C26" s="6">
        <v>29409.0</v>
      </c>
      <c r="D26" s="6">
        <v>2645160.0</v>
      </c>
      <c r="E26" s="7"/>
      <c r="F26" s="7"/>
      <c r="G26" s="7"/>
    </row>
    <row r="27" ht="14.25" customHeight="1">
      <c r="A27" s="8">
        <v>43958.0</v>
      </c>
      <c r="B27" s="9" t="s">
        <v>10</v>
      </c>
      <c r="C27" s="9">
        <v>27018.0</v>
      </c>
      <c r="D27" s="9">
        <v>2472213.0</v>
      </c>
      <c r="E27" s="7"/>
      <c r="F27" s="7"/>
      <c r="G27" s="7"/>
    </row>
    <row r="28" ht="14.25" customHeight="1">
      <c r="A28" s="5">
        <v>43975.0</v>
      </c>
      <c r="B28" s="6" t="s">
        <v>10</v>
      </c>
      <c r="C28" s="6">
        <v>34303.5</v>
      </c>
      <c r="D28" s="6">
        <v>2924746.5</v>
      </c>
      <c r="E28" s="7"/>
      <c r="F28" s="7"/>
      <c r="G28" s="7"/>
    </row>
    <row r="29" ht="14.25" customHeight="1">
      <c r="A29" s="8">
        <v>43982.0</v>
      </c>
      <c r="B29" s="9" t="s">
        <v>10</v>
      </c>
      <c r="C29" s="9">
        <v>36999.0</v>
      </c>
      <c r="D29" s="9">
        <v>3473895.0</v>
      </c>
      <c r="E29" s="7"/>
      <c r="F29" s="7"/>
      <c r="G29" s="7"/>
    </row>
    <row r="30" ht="14.25" customHeight="1">
      <c r="A30" s="5">
        <v>43981.0</v>
      </c>
      <c r="B30" s="6" t="s">
        <v>10</v>
      </c>
      <c r="C30" s="6">
        <v>44001.0</v>
      </c>
      <c r="D30" s="6">
        <v>3921784.5</v>
      </c>
      <c r="E30" s="7"/>
      <c r="F30" s="7"/>
      <c r="G30" s="7"/>
    </row>
    <row r="31" ht="14.25" customHeight="1">
      <c r="A31" s="8">
        <v>43979.0</v>
      </c>
      <c r="B31" s="9" t="s">
        <v>10</v>
      </c>
      <c r="C31" s="9">
        <v>30982.5</v>
      </c>
      <c r="D31" s="9">
        <v>2827773.0</v>
      </c>
      <c r="E31" s="7"/>
      <c r="F31" s="7"/>
      <c r="G31" s="7"/>
    </row>
    <row r="32" ht="14.25" customHeight="1">
      <c r="A32" s="5">
        <v>43967.0</v>
      </c>
      <c r="B32" s="6" t="s">
        <v>11</v>
      </c>
      <c r="C32" s="6">
        <v>88063.5</v>
      </c>
      <c r="D32" s="6">
        <v>7583758.5</v>
      </c>
      <c r="E32" s="7"/>
      <c r="F32" s="7"/>
      <c r="G32" s="7"/>
    </row>
    <row r="33" ht="14.25" customHeight="1">
      <c r="A33" s="8">
        <v>43970.0</v>
      </c>
      <c r="B33" s="9" t="s">
        <v>11</v>
      </c>
      <c r="C33" s="9">
        <v>84024.0</v>
      </c>
      <c r="D33" s="9">
        <v>6815511.0</v>
      </c>
      <c r="E33" s="7"/>
      <c r="F33" s="7"/>
      <c r="G33" s="7"/>
    </row>
    <row r="34" ht="14.25" customHeight="1">
      <c r="A34" s="5">
        <v>43968.0</v>
      </c>
      <c r="B34" s="6" t="s">
        <v>11</v>
      </c>
      <c r="C34" s="6">
        <v>78057.0</v>
      </c>
      <c r="D34" s="6">
        <v>6774946.5</v>
      </c>
      <c r="E34" s="7"/>
      <c r="F34" s="7"/>
      <c r="G34" s="7"/>
    </row>
    <row r="35" ht="14.25" customHeight="1">
      <c r="A35" s="8">
        <v>43960.0</v>
      </c>
      <c r="B35" s="9" t="s">
        <v>11</v>
      </c>
      <c r="C35" s="9">
        <v>69720.0</v>
      </c>
      <c r="D35" s="9">
        <v>6264933.0</v>
      </c>
      <c r="E35" s="7"/>
      <c r="F35" s="7"/>
      <c r="G35" s="7"/>
    </row>
    <row r="36" ht="14.25" customHeight="1">
      <c r="A36" s="5">
        <v>43955.0</v>
      </c>
      <c r="B36" s="6" t="s">
        <v>11</v>
      </c>
      <c r="C36" s="6">
        <v>72928.5</v>
      </c>
      <c r="D36" s="6">
        <v>6642249.0</v>
      </c>
      <c r="E36" s="7"/>
      <c r="F36" s="7"/>
      <c r="G36" s="7"/>
    </row>
    <row r="37" ht="14.25" customHeight="1">
      <c r="A37" s="8">
        <v>43950.0</v>
      </c>
      <c r="B37" s="9" t="s">
        <v>11</v>
      </c>
      <c r="C37" s="9">
        <v>79527.0</v>
      </c>
      <c r="D37" s="9">
        <v>7180498.5</v>
      </c>
      <c r="E37" s="7"/>
      <c r="F37" s="7"/>
      <c r="G37" s="7"/>
    </row>
    <row r="38" ht="14.25" customHeight="1">
      <c r="A38" s="5">
        <v>43953.0</v>
      </c>
      <c r="B38" s="6" t="s">
        <v>11</v>
      </c>
      <c r="C38" s="6">
        <v>60463.5</v>
      </c>
      <c r="D38" s="6">
        <v>5554192.5</v>
      </c>
      <c r="E38" s="7"/>
      <c r="F38" s="7"/>
      <c r="G38" s="7"/>
    </row>
    <row r="39" ht="14.25" customHeight="1">
      <c r="A39" s="8">
        <v>43977.0</v>
      </c>
      <c r="B39" s="9" t="s">
        <v>11</v>
      </c>
      <c r="C39" s="9">
        <v>79975.5</v>
      </c>
      <c r="D39" s="9">
        <v>6676459.5</v>
      </c>
      <c r="E39" s="7"/>
      <c r="F39" s="7"/>
      <c r="G39" s="7"/>
    </row>
    <row r="40" ht="14.25" customHeight="1">
      <c r="A40" s="5">
        <v>43952.0</v>
      </c>
      <c r="B40" s="6" t="s">
        <v>11</v>
      </c>
      <c r="C40" s="6">
        <v>97534.5</v>
      </c>
      <c r="D40" s="6">
        <v>8893024.5</v>
      </c>
      <c r="E40" s="7"/>
      <c r="F40" s="7"/>
      <c r="G40" s="7"/>
    </row>
    <row r="41" ht="14.25" customHeight="1">
      <c r="A41" s="8">
        <v>43963.0</v>
      </c>
      <c r="B41" s="9" t="s">
        <v>11</v>
      </c>
      <c r="C41" s="9">
        <v>71520.0</v>
      </c>
      <c r="D41" s="9">
        <v>6398361.0</v>
      </c>
      <c r="E41" s="7"/>
      <c r="F41" s="7"/>
      <c r="G41" s="7"/>
    </row>
    <row r="42" ht="14.25" customHeight="1">
      <c r="A42" s="5">
        <v>43972.0</v>
      </c>
      <c r="B42" s="6" t="s">
        <v>11</v>
      </c>
      <c r="C42" s="6">
        <v>79485.0</v>
      </c>
      <c r="D42" s="6">
        <v>6633847.5</v>
      </c>
      <c r="E42" s="7"/>
      <c r="F42" s="7"/>
      <c r="G42" s="7"/>
    </row>
    <row r="43" ht="14.25" customHeight="1">
      <c r="A43" s="8">
        <v>43971.0</v>
      </c>
      <c r="B43" s="9" t="s">
        <v>11</v>
      </c>
      <c r="C43" s="9">
        <v>93313.5</v>
      </c>
      <c r="D43" s="9">
        <v>7247575.5</v>
      </c>
      <c r="E43" s="7"/>
      <c r="F43" s="7"/>
      <c r="G43" s="7"/>
    </row>
    <row r="44" ht="14.25" customHeight="1">
      <c r="A44" s="5">
        <v>43956.0</v>
      </c>
      <c r="B44" s="6" t="s">
        <v>11</v>
      </c>
      <c r="C44" s="6">
        <v>76585.5</v>
      </c>
      <c r="D44" s="6">
        <v>6921316.5</v>
      </c>
      <c r="E44" s="7"/>
      <c r="F44" s="7"/>
      <c r="G44" s="7"/>
    </row>
    <row r="45" ht="14.25" customHeight="1">
      <c r="A45" s="8">
        <v>43949.0</v>
      </c>
      <c r="B45" s="9" t="s">
        <v>11</v>
      </c>
      <c r="C45" s="9">
        <v>81826.5</v>
      </c>
      <c r="D45" s="9">
        <v>7163644.5</v>
      </c>
      <c r="E45" s="7"/>
      <c r="F45" s="7"/>
      <c r="G45" s="7"/>
    </row>
    <row r="46" ht="14.25" customHeight="1">
      <c r="A46" s="5">
        <v>43964.0</v>
      </c>
      <c r="B46" s="6" t="s">
        <v>11</v>
      </c>
      <c r="C46" s="6">
        <v>78846.0</v>
      </c>
      <c r="D46" s="6">
        <v>6993952.5</v>
      </c>
      <c r="E46" s="7"/>
      <c r="F46" s="7"/>
      <c r="G46" s="7"/>
    </row>
    <row r="47" ht="14.25" customHeight="1">
      <c r="A47" s="8">
        <v>43954.0</v>
      </c>
      <c r="B47" s="9" t="s">
        <v>11</v>
      </c>
      <c r="C47" s="9">
        <v>77263.5</v>
      </c>
      <c r="D47" s="9">
        <v>7013670.0</v>
      </c>
      <c r="E47" s="7"/>
      <c r="F47" s="7"/>
      <c r="G47" s="7"/>
    </row>
    <row r="48" ht="14.25" customHeight="1">
      <c r="A48" s="5">
        <v>43957.0</v>
      </c>
      <c r="B48" s="6" t="s">
        <v>11</v>
      </c>
      <c r="C48" s="6">
        <v>68994.0</v>
      </c>
      <c r="D48" s="6">
        <v>6168657.0</v>
      </c>
      <c r="E48" s="7"/>
      <c r="F48" s="7"/>
      <c r="G48" s="7"/>
    </row>
    <row r="49" ht="14.25" customHeight="1">
      <c r="A49" s="8">
        <v>43974.0</v>
      </c>
      <c r="B49" s="9" t="s">
        <v>11</v>
      </c>
      <c r="C49" s="9">
        <v>102889.5</v>
      </c>
      <c r="D49" s="9">
        <v>8089143.0</v>
      </c>
      <c r="E49" s="7"/>
      <c r="F49" s="7"/>
      <c r="G49" s="7"/>
    </row>
    <row r="50" ht="14.25" customHeight="1">
      <c r="A50" s="5">
        <v>43976.0</v>
      </c>
      <c r="B50" s="6" t="s">
        <v>11</v>
      </c>
      <c r="C50" s="6">
        <v>76999.5</v>
      </c>
      <c r="D50" s="6">
        <v>6645603.0</v>
      </c>
      <c r="E50" s="7"/>
      <c r="F50" s="7"/>
      <c r="G50" s="7"/>
    </row>
    <row r="51" ht="14.25" customHeight="1">
      <c r="A51" s="8">
        <v>43951.0</v>
      </c>
      <c r="B51" s="9" t="s">
        <v>11</v>
      </c>
      <c r="C51" s="9">
        <v>77565.0</v>
      </c>
      <c r="D51" s="9">
        <v>7023727.5</v>
      </c>
      <c r="E51" s="7"/>
      <c r="F51" s="7"/>
      <c r="G51" s="7"/>
    </row>
    <row r="52" ht="14.25" customHeight="1">
      <c r="A52" s="5">
        <v>43961.0</v>
      </c>
      <c r="B52" s="6" t="s">
        <v>11</v>
      </c>
      <c r="C52" s="6">
        <v>84132.0</v>
      </c>
      <c r="D52" s="6">
        <v>7483194.0</v>
      </c>
      <c r="E52" s="7"/>
      <c r="F52" s="7"/>
      <c r="G52" s="7"/>
    </row>
    <row r="53" ht="14.25" customHeight="1">
      <c r="A53" s="8">
        <v>43959.0</v>
      </c>
      <c r="B53" s="9" t="s">
        <v>11</v>
      </c>
      <c r="C53" s="9">
        <v>69544.5</v>
      </c>
      <c r="D53" s="9">
        <v>6293776.5</v>
      </c>
      <c r="E53" s="7"/>
      <c r="F53" s="7"/>
      <c r="G53" s="7"/>
    </row>
    <row r="54" ht="14.25" customHeight="1">
      <c r="A54" s="5">
        <v>43958.0</v>
      </c>
      <c r="B54" s="6" t="s">
        <v>11</v>
      </c>
      <c r="C54" s="6">
        <v>73204.5</v>
      </c>
      <c r="D54" s="6">
        <v>6591883.5</v>
      </c>
      <c r="E54" s="7"/>
      <c r="F54" s="7"/>
      <c r="G54" s="7"/>
    </row>
    <row r="55" ht="14.25" customHeight="1">
      <c r="A55" s="8">
        <v>43975.0</v>
      </c>
      <c r="B55" s="9" t="s">
        <v>11</v>
      </c>
      <c r="C55" s="9">
        <v>76663.5</v>
      </c>
      <c r="D55" s="9">
        <v>6451032.0</v>
      </c>
      <c r="E55" s="7"/>
      <c r="F55" s="7"/>
      <c r="G55" s="7"/>
    </row>
    <row r="56" ht="14.25" customHeight="1">
      <c r="A56" s="5">
        <v>43967.0</v>
      </c>
      <c r="B56" s="6" t="s">
        <v>12</v>
      </c>
      <c r="C56" s="6">
        <v>14265.0</v>
      </c>
      <c r="D56" s="6">
        <v>1130506.5</v>
      </c>
      <c r="E56" s="7"/>
      <c r="F56" s="7"/>
      <c r="G56" s="7"/>
    </row>
    <row r="57" ht="14.25" customHeight="1">
      <c r="A57" s="8">
        <v>43970.0</v>
      </c>
      <c r="B57" s="9" t="s">
        <v>12</v>
      </c>
      <c r="C57" s="9">
        <v>11526.0</v>
      </c>
      <c r="D57" s="9">
        <v>938764.5</v>
      </c>
      <c r="E57" s="7"/>
      <c r="F57" s="7"/>
      <c r="G57" s="7"/>
    </row>
    <row r="58" ht="14.25" customHeight="1">
      <c r="A58" s="5">
        <v>43968.0</v>
      </c>
      <c r="B58" s="6" t="s">
        <v>12</v>
      </c>
      <c r="C58" s="6">
        <v>10402.5</v>
      </c>
      <c r="D58" s="6">
        <v>843727.5</v>
      </c>
      <c r="E58" s="7"/>
      <c r="F58" s="7"/>
      <c r="G58" s="7"/>
    </row>
    <row r="59" ht="14.25" customHeight="1">
      <c r="A59" s="8">
        <v>43960.0</v>
      </c>
      <c r="B59" s="9" t="s">
        <v>12</v>
      </c>
      <c r="C59" s="9">
        <v>13216.5</v>
      </c>
      <c r="D59" s="9">
        <v>1046400.0</v>
      </c>
      <c r="E59" s="7"/>
      <c r="F59" s="7"/>
      <c r="G59" s="7"/>
    </row>
    <row r="60" ht="14.25" customHeight="1">
      <c r="A60" s="5">
        <v>43955.0</v>
      </c>
      <c r="B60" s="6" t="s">
        <v>12</v>
      </c>
      <c r="C60" s="6">
        <v>9130.5</v>
      </c>
      <c r="D60" s="6">
        <v>728890.5</v>
      </c>
      <c r="E60" s="7"/>
      <c r="F60" s="7"/>
      <c r="G60" s="7"/>
    </row>
    <row r="61" ht="14.25" customHeight="1">
      <c r="A61" s="8">
        <v>43950.0</v>
      </c>
      <c r="B61" s="9" t="s">
        <v>12</v>
      </c>
      <c r="C61" s="9">
        <v>10840.5</v>
      </c>
      <c r="D61" s="9">
        <v>797919.0</v>
      </c>
      <c r="E61" s="7"/>
      <c r="F61" s="7"/>
      <c r="G61" s="7"/>
    </row>
    <row r="62" ht="14.25" customHeight="1">
      <c r="A62" s="5">
        <v>43953.0</v>
      </c>
      <c r="B62" s="6" t="s">
        <v>12</v>
      </c>
      <c r="C62" s="6">
        <v>7866.0</v>
      </c>
      <c r="D62" s="6">
        <v>617881.5</v>
      </c>
      <c r="E62" s="7"/>
      <c r="F62" s="7"/>
      <c r="G62" s="7"/>
    </row>
    <row r="63" ht="14.25" customHeight="1">
      <c r="A63" s="8">
        <v>43977.0</v>
      </c>
      <c r="B63" s="9" t="s">
        <v>12</v>
      </c>
      <c r="C63" s="9">
        <v>11835.0</v>
      </c>
      <c r="D63" s="9">
        <v>983109.0</v>
      </c>
      <c r="E63" s="7"/>
      <c r="F63" s="7"/>
      <c r="G63" s="7"/>
    </row>
    <row r="64" ht="14.25" customHeight="1">
      <c r="A64" s="5">
        <v>43952.0</v>
      </c>
      <c r="B64" s="6" t="s">
        <v>12</v>
      </c>
      <c r="C64" s="6">
        <v>11619.0</v>
      </c>
      <c r="D64" s="6">
        <v>891139.5</v>
      </c>
      <c r="E64" s="7"/>
      <c r="F64" s="7"/>
      <c r="G64" s="7"/>
    </row>
    <row r="65" ht="14.25" customHeight="1">
      <c r="A65" s="8">
        <v>43963.0</v>
      </c>
      <c r="B65" s="9" t="s">
        <v>12</v>
      </c>
      <c r="C65" s="9">
        <v>9328.5</v>
      </c>
      <c r="D65" s="9">
        <v>732964.5</v>
      </c>
      <c r="E65" s="7"/>
      <c r="F65" s="7"/>
      <c r="G65" s="7"/>
    </row>
    <row r="66" ht="14.25" customHeight="1">
      <c r="A66" s="5">
        <v>43972.0</v>
      </c>
      <c r="B66" s="6" t="s">
        <v>12</v>
      </c>
      <c r="C66" s="6">
        <v>11250.0</v>
      </c>
      <c r="D66" s="6">
        <v>935523.0</v>
      </c>
      <c r="E66" s="7"/>
      <c r="F66" s="7"/>
      <c r="G66" s="7"/>
    </row>
    <row r="67" ht="14.25" customHeight="1">
      <c r="A67" s="8">
        <v>43971.0</v>
      </c>
      <c r="B67" s="9" t="s">
        <v>12</v>
      </c>
      <c r="C67" s="9">
        <v>13063.5</v>
      </c>
      <c r="D67" s="9">
        <v>1037247.0</v>
      </c>
      <c r="E67" s="7"/>
      <c r="F67" s="7"/>
      <c r="G67" s="7"/>
    </row>
    <row r="68" ht="14.25" customHeight="1">
      <c r="A68" s="5">
        <v>43956.0</v>
      </c>
      <c r="B68" s="6" t="s">
        <v>12</v>
      </c>
      <c r="C68" s="6">
        <v>10147.5</v>
      </c>
      <c r="D68" s="6">
        <v>793320.0</v>
      </c>
      <c r="E68" s="7"/>
      <c r="F68" s="7"/>
      <c r="G68" s="7"/>
    </row>
    <row r="69" ht="14.25" customHeight="1">
      <c r="A69" s="8">
        <v>43949.0</v>
      </c>
      <c r="B69" s="9" t="s">
        <v>12</v>
      </c>
      <c r="C69" s="9">
        <v>12331.5</v>
      </c>
      <c r="D69" s="9">
        <v>869983.5</v>
      </c>
      <c r="E69" s="7"/>
      <c r="F69" s="7"/>
      <c r="G69" s="7"/>
    </row>
    <row r="70" ht="14.25" customHeight="1">
      <c r="A70" s="5">
        <v>43964.0</v>
      </c>
      <c r="B70" s="6" t="s">
        <v>12</v>
      </c>
      <c r="C70" s="6">
        <v>11202.0</v>
      </c>
      <c r="D70" s="6">
        <v>865714.5</v>
      </c>
      <c r="E70" s="7"/>
      <c r="F70" s="7"/>
      <c r="G70" s="7"/>
    </row>
    <row r="71" ht="14.25" customHeight="1">
      <c r="A71" s="8">
        <v>43982.0</v>
      </c>
      <c r="B71" s="9" t="s">
        <v>11</v>
      </c>
      <c r="C71" s="9">
        <v>89149.5</v>
      </c>
      <c r="D71" s="9">
        <v>7512646.5</v>
      </c>
      <c r="E71" s="7"/>
      <c r="F71" s="7"/>
      <c r="G71" s="7"/>
    </row>
    <row r="72" ht="14.25" customHeight="1">
      <c r="A72" s="5">
        <v>43954.0</v>
      </c>
      <c r="B72" s="6" t="s">
        <v>12</v>
      </c>
      <c r="C72" s="6">
        <v>8185.5</v>
      </c>
      <c r="D72" s="6">
        <v>637881.0</v>
      </c>
      <c r="E72" s="7"/>
      <c r="F72" s="7"/>
      <c r="G72" s="7"/>
    </row>
    <row r="73" ht="14.25" customHeight="1">
      <c r="A73" s="8">
        <v>43981.0</v>
      </c>
      <c r="B73" s="9" t="s">
        <v>11</v>
      </c>
      <c r="C73" s="9">
        <v>108123.0</v>
      </c>
      <c r="D73" s="9">
        <v>9164707.5</v>
      </c>
      <c r="E73" s="7"/>
      <c r="F73" s="7"/>
      <c r="G73" s="7"/>
    </row>
    <row r="74" ht="14.25" customHeight="1">
      <c r="A74" s="5">
        <v>43957.0</v>
      </c>
      <c r="B74" s="6" t="s">
        <v>12</v>
      </c>
      <c r="C74" s="6">
        <v>9210.0</v>
      </c>
      <c r="D74" s="6">
        <v>696832.5</v>
      </c>
      <c r="E74" s="7"/>
      <c r="F74" s="7"/>
      <c r="G74" s="7"/>
    </row>
    <row r="75" ht="14.25" customHeight="1">
      <c r="A75" s="8">
        <v>43974.0</v>
      </c>
      <c r="B75" s="9" t="s">
        <v>12</v>
      </c>
      <c r="C75" s="9">
        <v>14773.5</v>
      </c>
      <c r="D75" s="9">
        <v>1241383.5</v>
      </c>
      <c r="E75" s="7"/>
      <c r="F75" s="7"/>
      <c r="G75" s="7"/>
    </row>
    <row r="76" ht="14.25" customHeight="1">
      <c r="A76" s="5">
        <v>43979.0</v>
      </c>
      <c r="B76" s="6" t="s">
        <v>11</v>
      </c>
      <c r="C76" s="6">
        <v>78141.0</v>
      </c>
      <c r="D76" s="6">
        <v>6641569.5</v>
      </c>
      <c r="E76" s="7"/>
      <c r="F76" s="7"/>
      <c r="G76" s="7"/>
    </row>
    <row r="77" ht="14.25" customHeight="1">
      <c r="A77" s="8">
        <v>43976.0</v>
      </c>
      <c r="B77" s="9" t="s">
        <v>12</v>
      </c>
      <c r="C77" s="9">
        <v>12280.5</v>
      </c>
      <c r="D77" s="9">
        <v>1030440.0</v>
      </c>
      <c r="E77" s="7"/>
      <c r="F77" s="7"/>
      <c r="G77" s="7"/>
    </row>
    <row r="78" ht="14.25" customHeight="1">
      <c r="A78" s="5">
        <v>43951.0</v>
      </c>
      <c r="B78" s="6" t="s">
        <v>12</v>
      </c>
      <c r="C78" s="6">
        <v>8934.0</v>
      </c>
      <c r="D78" s="6">
        <v>716196.0</v>
      </c>
      <c r="E78" s="7"/>
      <c r="F78" s="7"/>
      <c r="G78" s="7"/>
    </row>
    <row r="79" ht="14.25" customHeight="1">
      <c r="A79" s="8">
        <v>43961.0</v>
      </c>
      <c r="B79" s="9" t="s">
        <v>12</v>
      </c>
      <c r="C79" s="9">
        <v>12918.0</v>
      </c>
      <c r="D79" s="9">
        <v>1004788.5</v>
      </c>
      <c r="E79" s="7"/>
      <c r="F79" s="7"/>
      <c r="G79" s="7"/>
    </row>
    <row r="80" ht="14.25" customHeight="1">
      <c r="A80" s="5">
        <v>43959.0</v>
      </c>
      <c r="B80" s="6" t="s">
        <v>12</v>
      </c>
      <c r="C80" s="6">
        <v>12528.0</v>
      </c>
      <c r="D80" s="6">
        <v>959703.0</v>
      </c>
      <c r="E80" s="7"/>
      <c r="F80" s="7"/>
      <c r="G80" s="7"/>
    </row>
    <row r="81" ht="14.25" customHeight="1">
      <c r="A81" s="8">
        <v>43958.0</v>
      </c>
      <c r="B81" s="9" t="s">
        <v>12</v>
      </c>
      <c r="C81" s="9">
        <v>11029.5</v>
      </c>
      <c r="D81" s="9">
        <v>863754.0</v>
      </c>
      <c r="E81" s="7"/>
      <c r="F81" s="7"/>
      <c r="G81" s="7"/>
    </row>
    <row r="82" ht="14.25" customHeight="1">
      <c r="A82" s="5">
        <v>43975.0</v>
      </c>
      <c r="B82" s="6" t="s">
        <v>12</v>
      </c>
      <c r="C82" s="6">
        <v>9994.5</v>
      </c>
      <c r="D82" s="6">
        <v>828984.0</v>
      </c>
      <c r="E82" s="7"/>
      <c r="F82" s="7"/>
      <c r="G82" s="7"/>
    </row>
    <row r="83" ht="14.25" customHeight="1">
      <c r="A83" s="8">
        <v>43982.0</v>
      </c>
      <c r="B83" s="9" t="s">
        <v>12</v>
      </c>
      <c r="C83" s="9">
        <v>12724.5</v>
      </c>
      <c r="D83" s="9">
        <v>1045515.0</v>
      </c>
      <c r="E83" s="7"/>
      <c r="F83" s="7"/>
      <c r="G83" s="7"/>
    </row>
    <row r="84" ht="14.25" customHeight="1">
      <c r="A84" s="5">
        <v>43981.0</v>
      </c>
      <c r="B84" s="6" t="s">
        <v>12</v>
      </c>
      <c r="C84" s="6">
        <v>14728.5</v>
      </c>
      <c r="D84" s="6">
        <v>1260483.0</v>
      </c>
      <c r="E84" s="7"/>
      <c r="F84" s="7"/>
      <c r="G84" s="7"/>
    </row>
    <row r="85" ht="14.25" customHeight="1">
      <c r="A85" s="8">
        <v>43979.0</v>
      </c>
      <c r="B85" s="9" t="s">
        <v>12</v>
      </c>
      <c r="C85" s="9">
        <v>13038.0</v>
      </c>
      <c r="D85" s="9">
        <v>1114552.5</v>
      </c>
      <c r="E85" s="7"/>
      <c r="F85" s="7"/>
      <c r="G85" s="7"/>
    </row>
    <row r="86" ht="14.25" customHeight="1">
      <c r="A86" s="5">
        <v>43967.0</v>
      </c>
      <c r="B86" s="6" t="s">
        <v>13</v>
      </c>
      <c r="C86" s="6">
        <v>35482.5</v>
      </c>
      <c r="D86" s="6">
        <v>3222517.5</v>
      </c>
      <c r="E86" s="7"/>
      <c r="F86" s="7"/>
      <c r="G86" s="7"/>
    </row>
    <row r="87" ht="14.25" customHeight="1">
      <c r="A87" s="8">
        <v>43970.0</v>
      </c>
      <c r="B87" s="9" t="s">
        <v>13</v>
      </c>
      <c r="C87" s="9">
        <v>32434.5</v>
      </c>
      <c r="D87" s="9">
        <v>2865337.5</v>
      </c>
      <c r="E87" s="7"/>
      <c r="F87" s="7"/>
      <c r="G87" s="7"/>
    </row>
    <row r="88" ht="14.25" customHeight="1">
      <c r="A88" s="5">
        <v>43968.0</v>
      </c>
      <c r="B88" s="6" t="s">
        <v>13</v>
      </c>
      <c r="C88" s="6">
        <v>30486.0</v>
      </c>
      <c r="D88" s="6">
        <v>2694289.5</v>
      </c>
      <c r="E88" s="7"/>
      <c r="F88" s="7"/>
      <c r="G88" s="7"/>
    </row>
    <row r="89" ht="14.25" customHeight="1">
      <c r="A89" s="8">
        <v>43960.0</v>
      </c>
      <c r="B89" s="9" t="s">
        <v>13</v>
      </c>
      <c r="C89" s="9">
        <v>32079.0</v>
      </c>
      <c r="D89" s="9">
        <v>2902167.0</v>
      </c>
      <c r="E89" s="7"/>
      <c r="F89" s="7"/>
      <c r="G89" s="7"/>
    </row>
    <row r="90" ht="14.25" customHeight="1">
      <c r="A90" s="5">
        <v>43955.0</v>
      </c>
      <c r="B90" s="6" t="s">
        <v>13</v>
      </c>
      <c r="C90" s="6">
        <v>27072.0</v>
      </c>
      <c r="D90" s="6">
        <v>2450968.5</v>
      </c>
      <c r="E90" s="7"/>
      <c r="F90" s="7"/>
      <c r="G90" s="7"/>
    </row>
    <row r="91" ht="14.25" customHeight="1">
      <c r="A91" s="8">
        <v>43950.0</v>
      </c>
      <c r="B91" s="9" t="s">
        <v>13</v>
      </c>
      <c r="C91" s="9">
        <v>25917.0</v>
      </c>
      <c r="D91" s="9">
        <v>2397588.0</v>
      </c>
      <c r="E91" s="7"/>
      <c r="F91" s="7"/>
      <c r="G91" s="7"/>
    </row>
    <row r="92" ht="14.25" customHeight="1">
      <c r="A92" s="5">
        <v>43953.0</v>
      </c>
      <c r="B92" s="6" t="s">
        <v>13</v>
      </c>
      <c r="C92" s="6">
        <v>19461.0</v>
      </c>
      <c r="D92" s="6">
        <v>1799230.5</v>
      </c>
      <c r="E92" s="7"/>
      <c r="F92" s="7"/>
      <c r="G92" s="7"/>
    </row>
    <row r="93" ht="14.25" customHeight="1">
      <c r="A93" s="8">
        <v>43977.0</v>
      </c>
      <c r="B93" s="9" t="s">
        <v>13</v>
      </c>
      <c r="C93" s="9">
        <v>31407.0</v>
      </c>
      <c r="D93" s="9">
        <v>2907411.0</v>
      </c>
      <c r="E93" s="7"/>
      <c r="F93" s="7"/>
      <c r="G93" s="7"/>
    </row>
    <row r="94" ht="14.25" customHeight="1">
      <c r="A94" s="5">
        <v>43952.0</v>
      </c>
      <c r="B94" s="6" t="s">
        <v>13</v>
      </c>
      <c r="C94" s="6">
        <v>25792.5</v>
      </c>
      <c r="D94" s="6">
        <v>2374356.0</v>
      </c>
      <c r="E94" s="7"/>
      <c r="F94" s="7"/>
      <c r="G94" s="7"/>
    </row>
    <row r="95" ht="14.25" customHeight="1">
      <c r="A95" s="8">
        <v>43963.0</v>
      </c>
      <c r="B95" s="9" t="s">
        <v>13</v>
      </c>
      <c r="C95" s="9">
        <v>26032.5</v>
      </c>
      <c r="D95" s="9">
        <v>2370432.0</v>
      </c>
      <c r="E95" s="7"/>
      <c r="F95" s="7"/>
      <c r="G95" s="7"/>
    </row>
    <row r="96" ht="14.25" customHeight="1">
      <c r="A96" s="5">
        <v>43972.0</v>
      </c>
      <c r="B96" s="6" t="s">
        <v>13</v>
      </c>
      <c r="C96" s="6">
        <v>31707.0</v>
      </c>
      <c r="D96" s="6">
        <v>2853181.5</v>
      </c>
      <c r="E96" s="7"/>
      <c r="F96" s="7"/>
      <c r="G96" s="7"/>
    </row>
    <row r="97" ht="14.25" customHeight="1">
      <c r="A97" s="8">
        <v>43971.0</v>
      </c>
      <c r="B97" s="9" t="s">
        <v>13</v>
      </c>
      <c r="C97" s="9">
        <v>29955.0</v>
      </c>
      <c r="D97" s="9">
        <v>2692230.0</v>
      </c>
      <c r="E97" s="7"/>
      <c r="F97" s="7"/>
      <c r="G97" s="7"/>
    </row>
    <row r="98" ht="14.25" customHeight="1">
      <c r="A98" s="5">
        <v>43956.0</v>
      </c>
      <c r="B98" s="6" t="s">
        <v>13</v>
      </c>
      <c r="C98" s="6">
        <v>22848.0</v>
      </c>
      <c r="D98" s="6">
        <v>2079900.0</v>
      </c>
      <c r="E98" s="7"/>
      <c r="F98" s="7"/>
      <c r="G98" s="7"/>
    </row>
    <row r="99" ht="14.25" customHeight="1">
      <c r="A99" s="8">
        <v>43949.0</v>
      </c>
      <c r="B99" s="9" t="s">
        <v>13</v>
      </c>
      <c r="C99" s="9">
        <v>23314.5</v>
      </c>
      <c r="D99" s="9">
        <v>2136817.5</v>
      </c>
      <c r="E99" s="7"/>
      <c r="F99" s="7"/>
      <c r="G99" s="7"/>
    </row>
    <row r="100" ht="14.25" customHeight="1">
      <c r="A100" s="5">
        <v>43964.0</v>
      </c>
      <c r="B100" s="6" t="s">
        <v>13</v>
      </c>
      <c r="C100" s="6">
        <v>26464.5</v>
      </c>
      <c r="D100" s="6">
        <v>2373337.5</v>
      </c>
      <c r="E100" s="7"/>
      <c r="F100" s="7"/>
      <c r="G100" s="7"/>
    </row>
    <row r="101" ht="14.25" customHeight="1">
      <c r="A101" s="8">
        <v>43954.0</v>
      </c>
      <c r="B101" s="9" t="s">
        <v>13</v>
      </c>
      <c r="C101" s="9">
        <v>23539.5</v>
      </c>
      <c r="D101" s="9">
        <v>2170309.5</v>
      </c>
      <c r="E101" s="7"/>
      <c r="F101" s="7"/>
      <c r="G101" s="7"/>
    </row>
    <row r="102" ht="14.25" customHeight="1">
      <c r="A102" s="5">
        <v>43957.0</v>
      </c>
      <c r="B102" s="6" t="s">
        <v>13</v>
      </c>
      <c r="C102" s="6">
        <v>24678.0</v>
      </c>
      <c r="D102" s="6">
        <v>2232519.0</v>
      </c>
      <c r="E102" s="7"/>
      <c r="F102" s="7"/>
      <c r="G102" s="7"/>
    </row>
    <row r="103" ht="14.25" customHeight="1">
      <c r="A103" s="8">
        <v>43974.0</v>
      </c>
      <c r="B103" s="9" t="s">
        <v>13</v>
      </c>
      <c r="C103" s="9">
        <v>38176.5</v>
      </c>
      <c r="D103" s="9">
        <v>3385372.5</v>
      </c>
      <c r="E103" s="7"/>
      <c r="F103" s="7"/>
      <c r="G103" s="7"/>
    </row>
    <row r="104" ht="14.25" customHeight="1">
      <c r="A104" s="5">
        <v>43976.0</v>
      </c>
      <c r="B104" s="6" t="s">
        <v>13</v>
      </c>
      <c r="C104" s="6">
        <v>30603.0</v>
      </c>
      <c r="D104" s="6">
        <v>2865727.5</v>
      </c>
      <c r="E104" s="7"/>
      <c r="F104" s="7"/>
      <c r="G104" s="7"/>
    </row>
    <row r="105" ht="14.25" customHeight="1">
      <c r="A105" s="8">
        <v>43951.0</v>
      </c>
      <c r="B105" s="9" t="s">
        <v>13</v>
      </c>
      <c r="C105" s="9">
        <v>24211.5</v>
      </c>
      <c r="D105" s="9">
        <v>2267664.0</v>
      </c>
      <c r="E105" s="7"/>
      <c r="F105" s="7"/>
      <c r="G105" s="7"/>
    </row>
    <row r="106" ht="14.25" customHeight="1">
      <c r="A106" s="5">
        <v>43961.0</v>
      </c>
      <c r="B106" s="6" t="s">
        <v>13</v>
      </c>
      <c r="C106" s="6">
        <v>31399.5</v>
      </c>
      <c r="D106" s="6">
        <v>2862298.5</v>
      </c>
      <c r="E106" s="7"/>
      <c r="F106" s="7"/>
      <c r="G106" s="7"/>
    </row>
    <row r="107" ht="14.25" customHeight="1">
      <c r="A107" s="8">
        <v>43959.0</v>
      </c>
      <c r="B107" s="9" t="s">
        <v>13</v>
      </c>
      <c r="C107" s="9">
        <v>25294.5</v>
      </c>
      <c r="D107" s="9">
        <v>2271454.5</v>
      </c>
      <c r="E107" s="7"/>
      <c r="F107" s="7"/>
      <c r="G107" s="7"/>
    </row>
    <row r="108" ht="14.25" customHeight="1">
      <c r="A108" s="5">
        <v>43958.0</v>
      </c>
      <c r="B108" s="6" t="s">
        <v>13</v>
      </c>
      <c r="C108" s="6">
        <v>25468.5</v>
      </c>
      <c r="D108" s="6">
        <v>2350672.5</v>
      </c>
      <c r="E108" s="7"/>
      <c r="F108" s="7"/>
      <c r="G108" s="7"/>
    </row>
    <row r="109" ht="14.25" customHeight="1">
      <c r="A109" s="8">
        <v>43975.0</v>
      </c>
      <c r="B109" s="9" t="s">
        <v>13</v>
      </c>
      <c r="C109" s="9">
        <v>31854.0</v>
      </c>
      <c r="D109" s="9">
        <v>2915533.5</v>
      </c>
      <c r="E109" s="7"/>
      <c r="F109" s="7"/>
      <c r="G109" s="7"/>
    </row>
    <row r="110" ht="14.25" customHeight="1">
      <c r="A110" s="5">
        <v>43982.0</v>
      </c>
      <c r="B110" s="6" t="s">
        <v>13</v>
      </c>
      <c r="C110" s="6">
        <v>32359.5</v>
      </c>
      <c r="D110" s="6">
        <v>2991999.0</v>
      </c>
      <c r="E110" s="7"/>
      <c r="F110" s="7"/>
      <c r="G110" s="7"/>
    </row>
    <row r="111" ht="14.25" customHeight="1">
      <c r="A111" s="8">
        <v>43981.0</v>
      </c>
      <c r="B111" s="9" t="s">
        <v>13</v>
      </c>
      <c r="C111" s="9">
        <v>39867.0</v>
      </c>
      <c r="D111" s="9">
        <v>3654166.5</v>
      </c>
      <c r="E111" s="7"/>
      <c r="F111" s="7"/>
      <c r="G111" s="7"/>
    </row>
    <row r="112" ht="14.25" customHeight="1">
      <c r="A112" s="5">
        <v>43979.0</v>
      </c>
      <c r="B112" s="6" t="s">
        <v>13</v>
      </c>
      <c r="C112" s="6">
        <v>31974.0</v>
      </c>
      <c r="D112" s="6">
        <v>3004213.5</v>
      </c>
      <c r="E112" s="7"/>
      <c r="F112" s="7"/>
      <c r="G112" s="7"/>
    </row>
    <row r="113" ht="14.25" customHeight="1">
      <c r="A113" s="8">
        <v>43967.0</v>
      </c>
      <c r="B113" s="9" t="s">
        <v>14</v>
      </c>
      <c r="C113" s="9">
        <v>321412.5</v>
      </c>
      <c r="D113" s="9">
        <v>3.2235864E7</v>
      </c>
      <c r="E113" s="7"/>
      <c r="F113" s="7"/>
      <c r="G113" s="7"/>
    </row>
    <row r="114" ht="14.25" customHeight="1">
      <c r="A114" s="5">
        <v>43970.0</v>
      </c>
      <c r="B114" s="6" t="s">
        <v>14</v>
      </c>
      <c r="C114" s="6">
        <v>276568.5</v>
      </c>
      <c r="D114" s="6">
        <v>2.7093624E7</v>
      </c>
      <c r="E114" s="7"/>
      <c r="F114" s="7"/>
      <c r="G114" s="7"/>
    </row>
    <row r="115" ht="14.25" customHeight="1">
      <c r="A115" s="8">
        <v>43968.0</v>
      </c>
      <c r="B115" s="9" t="s">
        <v>14</v>
      </c>
      <c r="C115" s="9">
        <v>269029.5</v>
      </c>
      <c r="D115" s="9">
        <v>2.66599305E7</v>
      </c>
      <c r="E115" s="7"/>
      <c r="F115" s="7"/>
      <c r="G115" s="7"/>
    </row>
    <row r="116" ht="14.25" customHeight="1">
      <c r="A116" s="5">
        <v>43960.0</v>
      </c>
      <c r="B116" s="6" t="s">
        <v>14</v>
      </c>
      <c r="C116" s="6">
        <v>285972.0</v>
      </c>
      <c r="D116" s="6">
        <v>2.9768199E7</v>
      </c>
      <c r="E116" s="7"/>
      <c r="F116" s="7"/>
      <c r="G116" s="7"/>
    </row>
    <row r="117" ht="14.25" customHeight="1">
      <c r="A117" s="8">
        <v>43955.0</v>
      </c>
      <c r="B117" s="9" t="s">
        <v>14</v>
      </c>
      <c r="C117" s="9">
        <v>283942.5</v>
      </c>
      <c r="D117" s="9">
        <v>2.935794E7</v>
      </c>
      <c r="E117" s="7"/>
      <c r="F117" s="7"/>
      <c r="G117" s="7"/>
    </row>
    <row r="118" ht="14.25" customHeight="1">
      <c r="A118" s="5">
        <v>43950.0</v>
      </c>
      <c r="B118" s="6" t="s">
        <v>14</v>
      </c>
      <c r="C118" s="6">
        <v>298059.0</v>
      </c>
      <c r="D118" s="6">
        <v>3.08692875E7</v>
      </c>
      <c r="E118" s="7"/>
      <c r="F118" s="7"/>
      <c r="G118" s="7"/>
    </row>
    <row r="119" ht="14.25" customHeight="1">
      <c r="A119" s="8">
        <v>43953.0</v>
      </c>
      <c r="B119" s="9" t="s">
        <v>14</v>
      </c>
      <c r="C119" s="9">
        <v>232903.5</v>
      </c>
      <c r="D119" s="9">
        <v>2.43420165E7</v>
      </c>
      <c r="E119" s="7"/>
      <c r="F119" s="7"/>
      <c r="G119" s="7"/>
    </row>
    <row r="120" ht="14.25" customHeight="1">
      <c r="A120" s="5">
        <v>43977.0</v>
      </c>
      <c r="B120" s="6" t="s">
        <v>14</v>
      </c>
      <c r="C120" s="6">
        <v>276966.0</v>
      </c>
      <c r="D120" s="6">
        <v>2.787261789885E7</v>
      </c>
      <c r="E120" s="7"/>
      <c r="F120" s="7"/>
      <c r="G120" s="7"/>
    </row>
    <row r="121" ht="14.25" customHeight="1">
      <c r="A121" s="8">
        <v>43952.0</v>
      </c>
      <c r="B121" s="9" t="s">
        <v>14</v>
      </c>
      <c r="C121" s="9">
        <v>296149.5</v>
      </c>
      <c r="D121" s="9">
        <v>3.10533165E7</v>
      </c>
      <c r="E121" s="7"/>
      <c r="F121" s="7"/>
      <c r="G121" s="7"/>
    </row>
    <row r="122" ht="14.25" customHeight="1">
      <c r="A122" s="5">
        <v>43963.0</v>
      </c>
      <c r="B122" s="6" t="s">
        <v>14</v>
      </c>
      <c r="C122" s="6">
        <v>281796.0</v>
      </c>
      <c r="D122" s="6">
        <v>2.904252E7</v>
      </c>
      <c r="E122" s="7"/>
      <c r="F122" s="7"/>
      <c r="G122" s="7"/>
    </row>
    <row r="123" ht="14.25" customHeight="1">
      <c r="A123" s="8">
        <v>43972.0</v>
      </c>
      <c r="B123" s="9" t="s">
        <v>14</v>
      </c>
      <c r="C123" s="9">
        <v>288936.0</v>
      </c>
      <c r="D123" s="9">
        <v>2.78529E7</v>
      </c>
      <c r="E123" s="7"/>
      <c r="F123" s="7"/>
      <c r="G123" s="7"/>
    </row>
    <row r="124" ht="14.25" customHeight="1">
      <c r="A124" s="5">
        <v>43971.0</v>
      </c>
      <c r="B124" s="6" t="s">
        <v>14</v>
      </c>
      <c r="C124" s="6">
        <v>300151.5</v>
      </c>
      <c r="D124" s="6">
        <v>2.936877161745E7</v>
      </c>
      <c r="E124" s="7"/>
      <c r="F124" s="7"/>
      <c r="G124" s="7"/>
    </row>
    <row r="125" ht="14.25" customHeight="1">
      <c r="A125" s="8">
        <v>43956.0</v>
      </c>
      <c r="B125" s="9" t="s">
        <v>14</v>
      </c>
      <c r="C125" s="9">
        <v>262734.0</v>
      </c>
      <c r="D125" s="9">
        <v>2.7278441145E7</v>
      </c>
      <c r="E125" s="7"/>
      <c r="F125" s="7"/>
      <c r="G125" s="7"/>
    </row>
    <row r="126" ht="14.25" customHeight="1">
      <c r="A126" s="5">
        <v>43949.0</v>
      </c>
      <c r="B126" s="6" t="s">
        <v>14</v>
      </c>
      <c r="C126" s="6">
        <v>286002.0</v>
      </c>
      <c r="D126" s="6">
        <v>2.91590325E7</v>
      </c>
      <c r="E126" s="7"/>
      <c r="F126" s="7"/>
      <c r="G126" s="7"/>
    </row>
    <row r="127" ht="14.25" customHeight="1">
      <c r="A127" s="8">
        <v>43964.0</v>
      </c>
      <c r="B127" s="9" t="s">
        <v>14</v>
      </c>
      <c r="C127" s="9">
        <v>258459.0</v>
      </c>
      <c r="D127" s="9">
        <v>2.64674535E7</v>
      </c>
      <c r="E127" s="7"/>
      <c r="F127" s="7"/>
      <c r="G127" s="7"/>
    </row>
    <row r="128" ht="14.25" customHeight="1">
      <c r="A128" s="5">
        <v>43954.0</v>
      </c>
      <c r="B128" s="6" t="s">
        <v>14</v>
      </c>
      <c r="C128" s="6">
        <v>274083.0</v>
      </c>
      <c r="D128" s="6">
        <v>2.8427001E7</v>
      </c>
      <c r="E128" s="7"/>
      <c r="F128" s="7"/>
      <c r="G128" s="7"/>
    </row>
    <row r="129" ht="14.25" customHeight="1">
      <c r="A129" s="8">
        <v>43957.0</v>
      </c>
      <c r="B129" s="9" t="s">
        <v>14</v>
      </c>
      <c r="C129" s="9">
        <v>277512.0</v>
      </c>
      <c r="D129" s="9">
        <v>2.87708101056E7</v>
      </c>
      <c r="E129" s="7"/>
      <c r="F129" s="7"/>
      <c r="G129" s="7"/>
    </row>
    <row r="130" ht="14.25" customHeight="1">
      <c r="A130" s="5">
        <v>43974.0</v>
      </c>
      <c r="B130" s="6" t="s">
        <v>14</v>
      </c>
      <c r="C130" s="6">
        <v>356982.0</v>
      </c>
      <c r="D130" s="6">
        <v>3.510392671155E7</v>
      </c>
      <c r="E130" s="7"/>
      <c r="F130" s="7"/>
      <c r="G130" s="7"/>
    </row>
    <row r="131" ht="14.25" customHeight="1">
      <c r="A131" s="8">
        <v>43976.0</v>
      </c>
      <c r="B131" s="9" t="s">
        <v>14</v>
      </c>
      <c r="C131" s="9">
        <v>266983.5</v>
      </c>
      <c r="D131" s="9">
        <v>2.71659135E7</v>
      </c>
      <c r="E131" s="7"/>
      <c r="F131" s="7"/>
      <c r="G131" s="7"/>
    </row>
    <row r="132" ht="14.25" customHeight="1">
      <c r="A132" s="5">
        <v>43951.0</v>
      </c>
      <c r="B132" s="6" t="s">
        <v>14</v>
      </c>
      <c r="C132" s="6">
        <v>311131.5</v>
      </c>
      <c r="D132" s="6">
        <v>3.2418879E7</v>
      </c>
      <c r="E132" s="7"/>
      <c r="F132" s="7"/>
      <c r="G132" s="7"/>
    </row>
    <row r="133" ht="14.25" customHeight="1">
      <c r="A133" s="8">
        <v>43961.0</v>
      </c>
      <c r="B133" s="9" t="s">
        <v>14</v>
      </c>
      <c r="C133" s="9">
        <v>287206.5</v>
      </c>
      <c r="D133" s="9">
        <v>2.953617610605E7</v>
      </c>
      <c r="E133" s="7"/>
      <c r="F133" s="7"/>
      <c r="G133" s="7"/>
    </row>
    <row r="134" ht="14.25" customHeight="1">
      <c r="A134" s="5">
        <v>43959.0</v>
      </c>
      <c r="B134" s="6" t="s">
        <v>14</v>
      </c>
      <c r="C134" s="6">
        <v>370092.0</v>
      </c>
      <c r="D134" s="6">
        <v>3.80915565E7</v>
      </c>
      <c r="E134" s="7"/>
      <c r="F134" s="7"/>
      <c r="G134" s="7"/>
    </row>
    <row r="135" ht="14.25" customHeight="1">
      <c r="A135" s="8">
        <v>43958.0</v>
      </c>
      <c r="B135" s="9" t="s">
        <v>14</v>
      </c>
      <c r="C135" s="9">
        <v>247813.5</v>
      </c>
      <c r="D135" s="9">
        <v>2.5325271E7</v>
      </c>
      <c r="E135" s="7"/>
      <c r="F135" s="7"/>
      <c r="G135" s="7"/>
    </row>
    <row r="136" ht="14.25" customHeight="1">
      <c r="A136" s="5">
        <v>43975.0</v>
      </c>
      <c r="B136" s="6" t="s">
        <v>14</v>
      </c>
      <c r="C136" s="6">
        <v>287740.5</v>
      </c>
      <c r="D136" s="6">
        <v>2.8188534E7</v>
      </c>
      <c r="E136" s="7"/>
      <c r="F136" s="7"/>
      <c r="G136" s="7"/>
    </row>
    <row r="137" ht="14.25" customHeight="1">
      <c r="A137" s="8">
        <v>43967.0</v>
      </c>
      <c r="B137" s="9" t="s">
        <v>15</v>
      </c>
      <c r="C137" s="9">
        <v>408810.0</v>
      </c>
      <c r="D137" s="9">
        <v>4.2323631E7</v>
      </c>
      <c r="E137" s="7"/>
      <c r="F137" s="7"/>
      <c r="G137" s="7"/>
    </row>
    <row r="138" ht="14.25" customHeight="1">
      <c r="A138" s="5">
        <v>43970.0</v>
      </c>
      <c r="B138" s="6" t="s">
        <v>15</v>
      </c>
      <c r="C138" s="6">
        <v>362536.5</v>
      </c>
      <c r="D138" s="6">
        <v>3.7023243E7</v>
      </c>
      <c r="E138" s="7"/>
      <c r="F138" s="7"/>
      <c r="G138" s="7"/>
    </row>
    <row r="139" ht="14.25" customHeight="1">
      <c r="A139" s="8">
        <v>43968.0</v>
      </c>
      <c r="B139" s="9" t="s">
        <v>15</v>
      </c>
      <c r="C139" s="9">
        <v>357072.0</v>
      </c>
      <c r="D139" s="9">
        <v>3.6834567E7</v>
      </c>
      <c r="E139" s="7"/>
      <c r="F139" s="7"/>
      <c r="G139" s="7"/>
    </row>
    <row r="140" ht="14.25" customHeight="1">
      <c r="A140" s="5">
        <v>43960.0</v>
      </c>
      <c r="B140" s="6" t="s">
        <v>15</v>
      </c>
      <c r="C140" s="6">
        <v>359214.0</v>
      </c>
      <c r="D140" s="6">
        <v>3.8693427E7</v>
      </c>
      <c r="E140" s="7"/>
      <c r="F140" s="7"/>
      <c r="G140" s="7"/>
    </row>
    <row r="141" ht="14.25" customHeight="1">
      <c r="A141" s="8">
        <v>43955.0</v>
      </c>
      <c r="B141" s="9" t="s">
        <v>15</v>
      </c>
      <c r="C141" s="9">
        <v>360255.0</v>
      </c>
      <c r="D141" s="9">
        <v>3.8406954E7</v>
      </c>
      <c r="E141" s="7"/>
      <c r="F141" s="7"/>
      <c r="G141" s="7"/>
    </row>
    <row r="142" ht="14.25" customHeight="1">
      <c r="A142" s="5">
        <v>43950.0</v>
      </c>
      <c r="B142" s="6" t="s">
        <v>15</v>
      </c>
      <c r="C142" s="6">
        <v>387220.5</v>
      </c>
      <c r="D142" s="6">
        <v>4.1559384E7</v>
      </c>
      <c r="E142" s="7"/>
      <c r="F142" s="7"/>
      <c r="G142" s="7"/>
    </row>
    <row r="143" ht="14.25" customHeight="1">
      <c r="A143" s="8">
        <v>43953.0</v>
      </c>
      <c r="B143" s="9" t="s">
        <v>15</v>
      </c>
      <c r="C143" s="9">
        <v>296580.0</v>
      </c>
      <c r="D143" s="9">
        <v>3.1843737E7</v>
      </c>
      <c r="E143" s="7"/>
      <c r="F143" s="7"/>
      <c r="G143" s="7"/>
    </row>
    <row r="144" ht="14.25" customHeight="1">
      <c r="A144" s="5">
        <v>43977.0</v>
      </c>
      <c r="B144" s="6" t="s">
        <v>15</v>
      </c>
      <c r="C144" s="6">
        <v>369861.0</v>
      </c>
      <c r="D144" s="6">
        <v>3.83659605E7</v>
      </c>
      <c r="E144" s="7"/>
      <c r="F144" s="7"/>
      <c r="G144" s="7"/>
    </row>
    <row r="145" ht="14.25" customHeight="1">
      <c r="A145" s="8">
        <v>43952.0</v>
      </c>
      <c r="B145" s="9" t="s">
        <v>15</v>
      </c>
      <c r="C145" s="9">
        <v>372504.0</v>
      </c>
      <c r="D145" s="9">
        <v>4.00771935E7</v>
      </c>
      <c r="E145" s="7"/>
      <c r="F145" s="7"/>
      <c r="G145" s="7"/>
    </row>
    <row r="146" ht="14.25" customHeight="1">
      <c r="A146" s="5">
        <v>43963.0</v>
      </c>
      <c r="B146" s="6" t="s">
        <v>15</v>
      </c>
      <c r="C146" s="6">
        <v>373392.0</v>
      </c>
      <c r="D146" s="6">
        <v>3.9578577E7</v>
      </c>
      <c r="E146" s="7"/>
      <c r="F146" s="7"/>
      <c r="G146" s="7"/>
    </row>
    <row r="147" ht="14.25" customHeight="1">
      <c r="A147" s="8">
        <v>43972.0</v>
      </c>
      <c r="B147" s="9" t="s">
        <v>15</v>
      </c>
      <c r="C147" s="9">
        <v>378043.5</v>
      </c>
      <c r="D147" s="9">
        <v>3.790215657E7</v>
      </c>
      <c r="E147" s="7"/>
      <c r="F147" s="7"/>
      <c r="G147" s="7"/>
    </row>
    <row r="148" ht="14.25" customHeight="1">
      <c r="A148" s="5">
        <v>43971.0</v>
      </c>
      <c r="B148" s="6" t="s">
        <v>15</v>
      </c>
      <c r="C148" s="6">
        <v>388668.0</v>
      </c>
      <c r="D148" s="6">
        <v>3.9639309E7</v>
      </c>
      <c r="E148" s="7"/>
      <c r="F148" s="7"/>
      <c r="G148" s="7"/>
    </row>
    <row r="149" ht="14.25" customHeight="1">
      <c r="A149" s="8">
        <v>43956.0</v>
      </c>
      <c r="B149" s="9" t="s">
        <v>15</v>
      </c>
      <c r="C149" s="9">
        <v>333792.0</v>
      </c>
      <c r="D149" s="9">
        <v>3.5671734E7</v>
      </c>
      <c r="E149" s="7"/>
      <c r="F149" s="7"/>
      <c r="G149" s="7"/>
    </row>
    <row r="150" ht="14.25" customHeight="1">
      <c r="A150" s="5">
        <v>43949.0</v>
      </c>
      <c r="B150" s="6" t="s">
        <v>15</v>
      </c>
      <c r="C150" s="6">
        <v>376060.5</v>
      </c>
      <c r="D150" s="6">
        <v>3.99180285E7</v>
      </c>
      <c r="E150" s="7"/>
      <c r="F150" s="7"/>
      <c r="G150" s="7"/>
    </row>
    <row r="151" ht="14.25" customHeight="1">
      <c r="A151" s="8">
        <v>43964.0</v>
      </c>
      <c r="B151" s="9" t="s">
        <v>15</v>
      </c>
      <c r="C151" s="9">
        <v>350068.5</v>
      </c>
      <c r="D151" s="9">
        <v>3.71971155E7</v>
      </c>
      <c r="E151" s="7"/>
      <c r="F151" s="7"/>
      <c r="G151" s="7"/>
    </row>
    <row r="152" ht="14.25" customHeight="1">
      <c r="A152" s="5">
        <v>43982.0</v>
      </c>
      <c r="B152" s="6" t="s">
        <v>14</v>
      </c>
      <c r="C152" s="6">
        <v>294337.5</v>
      </c>
      <c r="D152" s="6">
        <v>2.9327766E7</v>
      </c>
      <c r="E152" s="7"/>
      <c r="F152" s="7"/>
      <c r="G152" s="7"/>
    </row>
    <row r="153" ht="14.25" customHeight="1">
      <c r="A153" s="8">
        <v>43954.0</v>
      </c>
      <c r="B153" s="9" t="s">
        <v>15</v>
      </c>
      <c r="C153" s="9">
        <v>342666.0</v>
      </c>
      <c r="D153" s="9">
        <v>3.66319995E7</v>
      </c>
      <c r="E153" s="7"/>
      <c r="F153" s="7"/>
      <c r="G153" s="7"/>
    </row>
    <row r="154" ht="14.25" customHeight="1">
      <c r="A154" s="5">
        <v>43981.0</v>
      </c>
      <c r="B154" s="6" t="s">
        <v>14</v>
      </c>
      <c r="C154" s="6">
        <v>364882.5</v>
      </c>
      <c r="D154" s="6">
        <v>3.57244935E7</v>
      </c>
      <c r="E154" s="7"/>
      <c r="F154" s="7"/>
      <c r="G154" s="7"/>
    </row>
    <row r="155" ht="14.25" customHeight="1">
      <c r="A155" s="8">
        <v>43957.0</v>
      </c>
      <c r="B155" s="9" t="s">
        <v>15</v>
      </c>
      <c r="C155" s="9">
        <v>355278.0</v>
      </c>
      <c r="D155" s="9">
        <v>3.8092344E7</v>
      </c>
      <c r="E155" s="7"/>
      <c r="F155" s="7"/>
      <c r="G155" s="7"/>
    </row>
    <row r="156" ht="14.25" customHeight="1">
      <c r="A156" s="5">
        <v>43974.0</v>
      </c>
      <c r="B156" s="6" t="s">
        <v>15</v>
      </c>
      <c r="C156" s="6">
        <v>456885.0</v>
      </c>
      <c r="D156" s="6">
        <v>4.640808E7</v>
      </c>
      <c r="E156" s="7"/>
      <c r="F156" s="7"/>
      <c r="G156" s="7"/>
    </row>
    <row r="157" ht="14.25" customHeight="1">
      <c r="A157" s="8">
        <v>43979.0</v>
      </c>
      <c r="B157" s="9" t="s">
        <v>14</v>
      </c>
      <c r="C157" s="9">
        <v>278491.5</v>
      </c>
      <c r="D157" s="9">
        <v>2.815100475E7</v>
      </c>
      <c r="E157" s="7"/>
      <c r="F157" s="7"/>
      <c r="G157" s="7"/>
    </row>
    <row r="158" ht="14.25" customHeight="1">
      <c r="A158" s="5">
        <v>43976.0</v>
      </c>
      <c r="B158" s="6" t="s">
        <v>15</v>
      </c>
      <c r="C158" s="6">
        <v>349734.0</v>
      </c>
      <c r="D158" s="6">
        <v>3.6883428E7</v>
      </c>
      <c r="E158" s="7"/>
      <c r="F158" s="7"/>
      <c r="G158" s="7"/>
    </row>
    <row r="159" ht="14.25" customHeight="1">
      <c r="A159" s="8">
        <v>43951.0</v>
      </c>
      <c r="B159" s="9" t="s">
        <v>15</v>
      </c>
      <c r="C159" s="9">
        <v>401580.0</v>
      </c>
      <c r="D159" s="9">
        <v>4.30287345E7</v>
      </c>
      <c r="E159" s="7"/>
      <c r="F159" s="7"/>
      <c r="G159" s="7"/>
    </row>
    <row r="160" ht="14.25" customHeight="1">
      <c r="A160" s="5">
        <v>43961.0</v>
      </c>
      <c r="B160" s="6" t="s">
        <v>15</v>
      </c>
      <c r="C160" s="6">
        <v>368649.0</v>
      </c>
      <c r="D160" s="6">
        <v>3.9010875E7</v>
      </c>
      <c r="E160" s="7"/>
      <c r="F160" s="7"/>
      <c r="G160" s="7"/>
    </row>
    <row r="161" ht="14.25" customHeight="1">
      <c r="A161" s="8">
        <v>43959.0</v>
      </c>
      <c r="B161" s="9" t="s">
        <v>15</v>
      </c>
      <c r="C161" s="9">
        <v>463530.0</v>
      </c>
      <c r="D161" s="9">
        <v>4.91231805E7</v>
      </c>
      <c r="E161" s="7"/>
      <c r="F161" s="7"/>
      <c r="G161" s="7"/>
    </row>
    <row r="162" ht="14.25" customHeight="1">
      <c r="A162" s="5">
        <v>43958.0</v>
      </c>
      <c r="B162" s="6" t="s">
        <v>15</v>
      </c>
      <c r="C162" s="6">
        <v>319110.0</v>
      </c>
      <c r="D162" s="6">
        <v>3.3763989E7</v>
      </c>
      <c r="E162" s="7"/>
      <c r="F162" s="7"/>
      <c r="G162" s="7"/>
    </row>
    <row r="163" ht="14.25" customHeight="1">
      <c r="A163" s="8">
        <v>43975.0</v>
      </c>
      <c r="B163" s="9" t="s">
        <v>15</v>
      </c>
      <c r="C163" s="9">
        <v>375744.0</v>
      </c>
      <c r="D163" s="9">
        <v>3.81913815E7</v>
      </c>
      <c r="E163" s="7"/>
      <c r="F163" s="7"/>
      <c r="G163" s="7"/>
    </row>
    <row r="164" ht="14.25" customHeight="1">
      <c r="A164" s="5">
        <v>43967.0</v>
      </c>
      <c r="B164" s="6" t="s">
        <v>16</v>
      </c>
      <c r="C164" s="6">
        <v>81331.5</v>
      </c>
      <c r="D164" s="6">
        <v>6652179.0</v>
      </c>
      <c r="E164" s="7"/>
      <c r="F164" s="7"/>
      <c r="G164" s="7"/>
    </row>
    <row r="165" ht="14.25" customHeight="1">
      <c r="A165" s="8">
        <v>43970.0</v>
      </c>
      <c r="B165" s="9" t="s">
        <v>16</v>
      </c>
      <c r="C165" s="9">
        <v>75796.5</v>
      </c>
      <c r="D165" s="9">
        <v>6173463.0</v>
      </c>
      <c r="E165" s="7"/>
      <c r="F165" s="7"/>
      <c r="G165" s="7"/>
    </row>
    <row r="166" ht="14.25" customHeight="1">
      <c r="A166" s="5">
        <v>43968.0</v>
      </c>
      <c r="B166" s="6" t="s">
        <v>16</v>
      </c>
      <c r="C166" s="6">
        <v>72861.0</v>
      </c>
      <c r="D166" s="6">
        <v>5952802.5</v>
      </c>
      <c r="E166" s="7"/>
      <c r="F166" s="7"/>
      <c r="G166" s="7"/>
    </row>
    <row r="167" ht="14.25" customHeight="1">
      <c r="A167" s="8">
        <v>43960.0</v>
      </c>
      <c r="B167" s="9" t="s">
        <v>16</v>
      </c>
      <c r="C167" s="9">
        <v>83373.0</v>
      </c>
      <c r="D167" s="9">
        <v>7253427.0</v>
      </c>
      <c r="E167" s="7"/>
      <c r="F167" s="7"/>
      <c r="G167" s="7"/>
    </row>
    <row r="168" ht="14.25" customHeight="1">
      <c r="A168" s="5">
        <v>43955.0</v>
      </c>
      <c r="B168" s="6" t="s">
        <v>16</v>
      </c>
      <c r="C168" s="6">
        <v>64108.5</v>
      </c>
      <c r="D168" s="6">
        <v>5561452.5</v>
      </c>
      <c r="E168" s="7"/>
      <c r="F168" s="7"/>
      <c r="G168" s="7"/>
    </row>
    <row r="169" ht="14.25" customHeight="1">
      <c r="A169" s="8">
        <v>43950.0</v>
      </c>
      <c r="B169" s="9" t="s">
        <v>16</v>
      </c>
      <c r="C169" s="9">
        <v>74707.5</v>
      </c>
      <c r="D169" s="9">
        <v>6454458.0</v>
      </c>
      <c r="E169" s="7"/>
      <c r="F169" s="7"/>
      <c r="G169" s="7"/>
    </row>
    <row r="170" ht="14.25" customHeight="1">
      <c r="A170" s="5">
        <v>43953.0</v>
      </c>
      <c r="B170" s="6" t="s">
        <v>16</v>
      </c>
      <c r="C170" s="6">
        <v>46216.5</v>
      </c>
      <c r="D170" s="6">
        <v>4118251.5</v>
      </c>
      <c r="E170" s="7"/>
      <c r="F170" s="7"/>
      <c r="G170" s="7"/>
    </row>
    <row r="171" ht="14.25" customHeight="1">
      <c r="A171" s="8">
        <v>43977.0</v>
      </c>
      <c r="B171" s="9" t="s">
        <v>16</v>
      </c>
      <c r="C171" s="9">
        <v>67726.5</v>
      </c>
      <c r="D171" s="9">
        <v>5864989.5</v>
      </c>
      <c r="E171" s="7"/>
      <c r="F171" s="7"/>
      <c r="G171" s="7"/>
    </row>
    <row r="172" ht="14.25" customHeight="1">
      <c r="A172" s="5">
        <v>43952.0</v>
      </c>
      <c r="B172" s="6" t="s">
        <v>16</v>
      </c>
      <c r="C172" s="6">
        <v>82228.5</v>
      </c>
      <c r="D172" s="6">
        <v>7032225.0</v>
      </c>
      <c r="E172" s="7"/>
      <c r="F172" s="7"/>
      <c r="G172" s="7"/>
    </row>
    <row r="173" ht="14.25" customHeight="1">
      <c r="A173" s="8">
        <v>43963.0</v>
      </c>
      <c r="B173" s="9" t="s">
        <v>16</v>
      </c>
      <c r="C173" s="9">
        <v>64390.5</v>
      </c>
      <c r="D173" s="9">
        <v>5523145.5</v>
      </c>
      <c r="E173" s="7"/>
      <c r="F173" s="7"/>
      <c r="G173" s="7"/>
    </row>
    <row r="174" ht="14.25" customHeight="1">
      <c r="A174" s="5">
        <v>43972.0</v>
      </c>
      <c r="B174" s="6" t="s">
        <v>16</v>
      </c>
      <c r="C174" s="6">
        <v>73126.5</v>
      </c>
      <c r="D174" s="6">
        <v>5864085.0</v>
      </c>
      <c r="E174" s="7"/>
      <c r="F174" s="7"/>
      <c r="G174" s="7"/>
    </row>
    <row r="175" ht="14.25" customHeight="1">
      <c r="A175" s="8">
        <v>43971.0</v>
      </c>
      <c r="B175" s="9" t="s">
        <v>16</v>
      </c>
      <c r="C175" s="9">
        <v>99631.5</v>
      </c>
      <c r="D175" s="9">
        <v>7121946.0</v>
      </c>
      <c r="E175" s="7"/>
      <c r="F175" s="7"/>
      <c r="G175" s="7"/>
    </row>
    <row r="176" ht="14.25" customHeight="1">
      <c r="A176" s="5">
        <v>43956.0</v>
      </c>
      <c r="B176" s="6" t="s">
        <v>16</v>
      </c>
      <c r="C176" s="6">
        <v>66396.0</v>
      </c>
      <c r="D176" s="6">
        <v>5770539.0</v>
      </c>
      <c r="E176" s="7"/>
      <c r="F176" s="7"/>
      <c r="G176" s="7"/>
    </row>
    <row r="177" ht="14.25" customHeight="1">
      <c r="A177" s="8">
        <v>43949.0</v>
      </c>
      <c r="B177" s="9" t="s">
        <v>16</v>
      </c>
      <c r="C177" s="9">
        <v>73147.5</v>
      </c>
      <c r="D177" s="9">
        <v>6288246.0</v>
      </c>
      <c r="E177" s="7"/>
      <c r="F177" s="7"/>
      <c r="G177" s="7"/>
    </row>
    <row r="178" ht="14.25" customHeight="1">
      <c r="A178" s="5">
        <v>43964.0</v>
      </c>
      <c r="B178" s="6" t="s">
        <v>16</v>
      </c>
      <c r="C178" s="6">
        <v>73062.0</v>
      </c>
      <c r="D178" s="6">
        <v>6333828.0</v>
      </c>
      <c r="E178" s="7"/>
      <c r="F178" s="7"/>
      <c r="G178" s="7"/>
    </row>
    <row r="179" ht="14.25" customHeight="1">
      <c r="A179" s="8">
        <v>43982.0</v>
      </c>
      <c r="B179" s="9" t="s">
        <v>15</v>
      </c>
      <c r="C179" s="9">
        <v>379663.5</v>
      </c>
      <c r="D179" s="9">
        <v>3.9380178E7</v>
      </c>
      <c r="E179" s="7"/>
      <c r="F179" s="7"/>
      <c r="G179" s="7"/>
    </row>
    <row r="180" ht="14.25" customHeight="1">
      <c r="A180" s="5">
        <v>43954.0</v>
      </c>
      <c r="B180" s="6" t="s">
        <v>16</v>
      </c>
      <c r="C180" s="6">
        <v>70581.0</v>
      </c>
      <c r="D180" s="6">
        <v>6221320.5</v>
      </c>
      <c r="E180" s="7"/>
      <c r="F180" s="7"/>
      <c r="G180" s="7"/>
    </row>
    <row r="181" ht="14.25" customHeight="1">
      <c r="A181" s="8">
        <v>43981.0</v>
      </c>
      <c r="B181" s="9" t="s">
        <v>15</v>
      </c>
      <c r="C181" s="9">
        <v>453123.0</v>
      </c>
      <c r="D181" s="9">
        <v>4.6370904E7</v>
      </c>
      <c r="E181" s="7"/>
      <c r="F181" s="7"/>
      <c r="G181" s="7"/>
    </row>
    <row r="182" ht="14.25" customHeight="1">
      <c r="A182" s="5">
        <v>43957.0</v>
      </c>
      <c r="B182" s="6" t="s">
        <v>16</v>
      </c>
      <c r="C182" s="6">
        <v>63012.0</v>
      </c>
      <c r="D182" s="6">
        <v>5454121.5</v>
      </c>
      <c r="E182" s="7"/>
      <c r="F182" s="7"/>
      <c r="G182" s="7"/>
    </row>
    <row r="183" ht="14.25" customHeight="1">
      <c r="A183" s="8">
        <v>43974.0</v>
      </c>
      <c r="B183" s="9" t="s">
        <v>16</v>
      </c>
      <c r="C183" s="9">
        <v>89556.0</v>
      </c>
      <c r="D183" s="9">
        <v>7173117.0</v>
      </c>
      <c r="E183" s="7"/>
      <c r="F183" s="7"/>
      <c r="G183" s="7"/>
    </row>
    <row r="184" ht="14.25" customHeight="1">
      <c r="A184" s="5">
        <v>43979.0</v>
      </c>
      <c r="B184" s="6" t="s">
        <v>15</v>
      </c>
      <c r="C184" s="6">
        <v>364638.0</v>
      </c>
      <c r="D184" s="6">
        <v>3.79476885E7</v>
      </c>
      <c r="E184" s="7"/>
      <c r="F184" s="7"/>
      <c r="G184" s="7"/>
    </row>
    <row r="185" ht="14.25" customHeight="1">
      <c r="A185" s="8">
        <v>43976.0</v>
      </c>
      <c r="B185" s="9" t="s">
        <v>16</v>
      </c>
      <c r="C185" s="9">
        <v>66316.5</v>
      </c>
      <c r="D185" s="9">
        <v>5704650.0</v>
      </c>
      <c r="E185" s="7"/>
      <c r="F185" s="7"/>
      <c r="G185" s="7"/>
    </row>
    <row r="186" ht="14.25" customHeight="1">
      <c r="A186" s="5">
        <v>43951.0</v>
      </c>
      <c r="B186" s="6" t="s">
        <v>16</v>
      </c>
      <c r="C186" s="6">
        <v>78235.5</v>
      </c>
      <c r="D186" s="6">
        <v>6819594.0</v>
      </c>
      <c r="E186" s="7"/>
      <c r="F186" s="7"/>
      <c r="G186" s="7"/>
    </row>
    <row r="187" ht="14.25" customHeight="1">
      <c r="A187" s="8">
        <v>43961.0</v>
      </c>
      <c r="B187" s="9" t="s">
        <v>16</v>
      </c>
      <c r="C187" s="9">
        <v>88311.0</v>
      </c>
      <c r="D187" s="9">
        <v>7726069.5</v>
      </c>
      <c r="E187" s="7"/>
      <c r="F187" s="7"/>
      <c r="G187" s="7"/>
    </row>
    <row r="188" ht="14.25" customHeight="1">
      <c r="A188" s="5">
        <v>43959.0</v>
      </c>
      <c r="B188" s="6" t="s">
        <v>16</v>
      </c>
      <c r="C188" s="6">
        <v>61804.5</v>
      </c>
      <c r="D188" s="6">
        <v>5365708.5</v>
      </c>
      <c r="E188" s="7"/>
      <c r="F188" s="7"/>
      <c r="G188" s="7"/>
    </row>
    <row r="189" ht="14.25" customHeight="1">
      <c r="A189" s="8">
        <v>43958.0</v>
      </c>
      <c r="B189" s="9" t="s">
        <v>16</v>
      </c>
      <c r="C189" s="9">
        <v>71067.0</v>
      </c>
      <c r="D189" s="9">
        <v>6175837.5</v>
      </c>
      <c r="E189" s="7"/>
      <c r="F189" s="7"/>
      <c r="G189" s="7"/>
    </row>
    <row r="190" ht="14.25" customHeight="1">
      <c r="A190" s="5">
        <v>43975.0</v>
      </c>
      <c r="B190" s="6" t="s">
        <v>16</v>
      </c>
      <c r="C190" s="6">
        <v>74649.0</v>
      </c>
      <c r="D190" s="6">
        <v>6098236.5</v>
      </c>
      <c r="E190" s="7"/>
      <c r="F190" s="7"/>
      <c r="G190" s="7"/>
    </row>
    <row r="191" ht="14.25" customHeight="1">
      <c r="A191" s="8">
        <v>43967.0</v>
      </c>
      <c r="B191" s="9" t="s">
        <v>17</v>
      </c>
      <c r="C191" s="9">
        <v>44560.5</v>
      </c>
      <c r="D191" s="9">
        <v>4025148.0</v>
      </c>
      <c r="E191" s="7"/>
      <c r="F191" s="7"/>
      <c r="G191" s="7"/>
    </row>
    <row r="192" ht="14.25" customHeight="1">
      <c r="A192" s="5">
        <v>43970.0</v>
      </c>
      <c r="B192" s="6" t="s">
        <v>17</v>
      </c>
      <c r="C192" s="6">
        <v>38250.0</v>
      </c>
      <c r="D192" s="6">
        <v>3552937.5</v>
      </c>
      <c r="E192" s="7"/>
      <c r="F192" s="7"/>
      <c r="G192" s="7"/>
    </row>
    <row r="193" ht="14.25" customHeight="1">
      <c r="A193" s="8">
        <v>43968.0</v>
      </c>
      <c r="B193" s="9" t="s">
        <v>17</v>
      </c>
      <c r="C193" s="9">
        <v>34830.0</v>
      </c>
      <c r="D193" s="9">
        <v>3191155.5</v>
      </c>
      <c r="E193" s="7"/>
      <c r="F193" s="7"/>
      <c r="G193" s="7"/>
    </row>
    <row r="194" ht="14.25" customHeight="1">
      <c r="A194" s="5">
        <v>43960.0</v>
      </c>
      <c r="B194" s="6" t="s">
        <v>17</v>
      </c>
      <c r="C194" s="6">
        <v>32239.5</v>
      </c>
      <c r="D194" s="6">
        <v>3084892.5</v>
      </c>
      <c r="E194" s="7"/>
      <c r="F194" s="7"/>
      <c r="G194" s="7"/>
    </row>
    <row r="195" ht="14.25" customHeight="1">
      <c r="A195" s="8">
        <v>43955.0</v>
      </c>
      <c r="B195" s="9" t="s">
        <v>17</v>
      </c>
      <c r="C195" s="9">
        <v>30780.0</v>
      </c>
      <c r="D195" s="9">
        <v>2817853.5</v>
      </c>
      <c r="E195" s="7"/>
      <c r="F195" s="7"/>
      <c r="G195" s="7"/>
    </row>
    <row r="196" ht="14.25" customHeight="1">
      <c r="A196" s="5">
        <v>43950.0</v>
      </c>
      <c r="B196" s="6" t="s">
        <v>17</v>
      </c>
      <c r="C196" s="6">
        <v>29142.0</v>
      </c>
      <c r="D196" s="6">
        <v>2627595.0</v>
      </c>
      <c r="E196" s="7"/>
      <c r="F196" s="7"/>
      <c r="G196" s="7"/>
    </row>
    <row r="197" ht="14.25" customHeight="1">
      <c r="A197" s="8">
        <v>43953.0</v>
      </c>
      <c r="B197" s="9" t="s">
        <v>17</v>
      </c>
      <c r="C197" s="9">
        <v>26428.5</v>
      </c>
      <c r="D197" s="9">
        <v>2470465.5</v>
      </c>
      <c r="E197" s="7"/>
      <c r="F197" s="7"/>
      <c r="G197" s="7"/>
    </row>
    <row r="198" ht="14.25" customHeight="1">
      <c r="A198" s="5">
        <v>43977.0</v>
      </c>
      <c r="B198" s="6" t="s">
        <v>17</v>
      </c>
      <c r="C198" s="6">
        <v>40744.5</v>
      </c>
      <c r="D198" s="6">
        <v>3700311.0</v>
      </c>
      <c r="E198" s="7"/>
      <c r="F198" s="7"/>
      <c r="G198" s="7"/>
    </row>
    <row r="199" ht="14.25" customHeight="1">
      <c r="A199" s="8">
        <v>43952.0</v>
      </c>
      <c r="B199" s="9" t="s">
        <v>17</v>
      </c>
      <c r="C199" s="9">
        <v>46620.0</v>
      </c>
      <c r="D199" s="9">
        <v>4293241.5</v>
      </c>
      <c r="E199" s="7"/>
      <c r="F199" s="7"/>
      <c r="G199" s="7"/>
    </row>
    <row r="200" ht="14.25" customHeight="1">
      <c r="A200" s="5">
        <v>43963.0</v>
      </c>
      <c r="B200" s="6" t="s">
        <v>17</v>
      </c>
      <c r="C200" s="6">
        <v>32419.5</v>
      </c>
      <c r="D200" s="6">
        <v>3080614.5</v>
      </c>
      <c r="E200" s="7"/>
      <c r="F200" s="7"/>
      <c r="G200" s="7"/>
    </row>
    <row r="201" ht="14.25" customHeight="1">
      <c r="A201" s="8">
        <v>43972.0</v>
      </c>
      <c r="B201" s="9" t="s">
        <v>17</v>
      </c>
      <c r="C201" s="9">
        <v>40819.5</v>
      </c>
      <c r="D201" s="9">
        <v>3810394.5</v>
      </c>
      <c r="E201" s="7"/>
      <c r="F201" s="7"/>
      <c r="G201" s="7"/>
    </row>
    <row r="202" ht="14.25" customHeight="1">
      <c r="A202" s="5">
        <v>43971.0</v>
      </c>
      <c r="B202" s="6" t="s">
        <v>17</v>
      </c>
      <c r="C202" s="6">
        <v>41391.0</v>
      </c>
      <c r="D202" s="6">
        <v>3918987.0</v>
      </c>
      <c r="E202" s="7"/>
      <c r="F202" s="7"/>
      <c r="G202" s="7"/>
    </row>
    <row r="203" ht="14.25" customHeight="1">
      <c r="A203" s="8">
        <v>43956.0</v>
      </c>
      <c r="B203" s="9" t="s">
        <v>17</v>
      </c>
      <c r="C203" s="9">
        <v>29482.5</v>
      </c>
      <c r="D203" s="9">
        <v>2648688.0</v>
      </c>
      <c r="E203" s="7"/>
      <c r="F203" s="7"/>
      <c r="G203" s="7"/>
    </row>
    <row r="204" ht="14.25" customHeight="1">
      <c r="A204" s="5">
        <v>43949.0</v>
      </c>
      <c r="B204" s="6" t="s">
        <v>17</v>
      </c>
      <c r="C204" s="6">
        <v>32181.0</v>
      </c>
      <c r="D204" s="6">
        <v>2863600.5</v>
      </c>
      <c r="E204" s="7"/>
      <c r="F204" s="7"/>
      <c r="G204" s="7"/>
    </row>
    <row r="205" ht="14.25" customHeight="1">
      <c r="A205" s="8">
        <v>43964.0</v>
      </c>
      <c r="B205" s="9" t="s">
        <v>17</v>
      </c>
      <c r="C205" s="9">
        <v>35535.0</v>
      </c>
      <c r="D205" s="9">
        <v>3288069.0</v>
      </c>
      <c r="E205" s="7"/>
      <c r="F205" s="7"/>
      <c r="G205" s="7"/>
    </row>
    <row r="206" ht="14.25" customHeight="1">
      <c r="A206" s="5">
        <v>43982.0</v>
      </c>
      <c r="B206" s="6" t="s">
        <v>16</v>
      </c>
      <c r="C206" s="6">
        <v>76234.5</v>
      </c>
      <c r="D206" s="6">
        <v>6500848.5</v>
      </c>
      <c r="E206" s="7"/>
      <c r="F206" s="7"/>
      <c r="G206" s="7"/>
    </row>
    <row r="207" ht="14.25" customHeight="1">
      <c r="A207" s="8">
        <v>43954.0</v>
      </c>
      <c r="B207" s="9" t="s">
        <v>17</v>
      </c>
      <c r="C207" s="9">
        <v>29935.5</v>
      </c>
      <c r="D207" s="9">
        <v>2720002.5</v>
      </c>
      <c r="E207" s="7"/>
      <c r="F207" s="7"/>
      <c r="G207" s="7"/>
    </row>
    <row r="208" ht="14.25" customHeight="1">
      <c r="A208" s="5">
        <v>43981.0</v>
      </c>
      <c r="B208" s="6" t="s">
        <v>16</v>
      </c>
      <c r="C208" s="6">
        <v>106926.0</v>
      </c>
      <c r="D208" s="6">
        <v>9098386.5</v>
      </c>
      <c r="E208" s="7"/>
      <c r="F208" s="7"/>
      <c r="G208" s="7"/>
    </row>
    <row r="209" ht="14.25" customHeight="1">
      <c r="A209" s="8">
        <v>43957.0</v>
      </c>
      <c r="B209" s="9" t="s">
        <v>17</v>
      </c>
      <c r="C209" s="9">
        <v>30342.0</v>
      </c>
      <c r="D209" s="9">
        <v>2738127.0</v>
      </c>
      <c r="E209" s="7"/>
      <c r="F209" s="7"/>
      <c r="G209" s="7"/>
    </row>
    <row r="210" ht="14.25" customHeight="1">
      <c r="A210" s="5">
        <v>43974.0</v>
      </c>
      <c r="B210" s="6" t="s">
        <v>17</v>
      </c>
      <c r="C210" s="6">
        <v>42999.0</v>
      </c>
      <c r="D210" s="6">
        <v>3883215.0</v>
      </c>
      <c r="E210" s="7"/>
      <c r="F210" s="7"/>
      <c r="G210" s="7"/>
    </row>
    <row r="211" ht="14.25" customHeight="1">
      <c r="A211" s="8">
        <v>43979.0</v>
      </c>
      <c r="B211" s="9" t="s">
        <v>16</v>
      </c>
      <c r="C211" s="9">
        <v>69945.0</v>
      </c>
      <c r="D211" s="9">
        <v>6101931.0</v>
      </c>
      <c r="E211" s="7"/>
      <c r="F211" s="7"/>
      <c r="G211" s="7"/>
    </row>
    <row r="212" ht="14.25" customHeight="1">
      <c r="A212" s="5">
        <v>43976.0</v>
      </c>
      <c r="B212" s="6" t="s">
        <v>17</v>
      </c>
      <c r="C212" s="6">
        <v>38740.5</v>
      </c>
      <c r="D212" s="6">
        <v>3561655.5</v>
      </c>
      <c r="E212" s="7"/>
      <c r="F212" s="7"/>
      <c r="G212" s="7"/>
    </row>
    <row r="213" ht="14.25" customHeight="1">
      <c r="A213" s="8">
        <v>43951.0</v>
      </c>
      <c r="B213" s="9" t="s">
        <v>17</v>
      </c>
      <c r="C213" s="9">
        <v>31231.5</v>
      </c>
      <c r="D213" s="9">
        <v>2853310.5</v>
      </c>
      <c r="E213" s="7"/>
      <c r="F213" s="7"/>
      <c r="G213" s="7"/>
    </row>
    <row r="214" ht="14.25" customHeight="1">
      <c r="A214" s="5">
        <v>43961.0</v>
      </c>
      <c r="B214" s="6" t="s">
        <v>17</v>
      </c>
      <c r="C214" s="6">
        <v>37489.5</v>
      </c>
      <c r="D214" s="6">
        <v>3549097.5</v>
      </c>
      <c r="E214" s="7"/>
      <c r="F214" s="7"/>
      <c r="G214" s="7"/>
    </row>
    <row r="215" ht="14.25" customHeight="1">
      <c r="A215" s="8">
        <v>43959.0</v>
      </c>
      <c r="B215" s="9" t="s">
        <v>17</v>
      </c>
      <c r="C215" s="9">
        <v>34399.5</v>
      </c>
      <c r="D215" s="9">
        <v>3201358.5</v>
      </c>
      <c r="E215" s="7"/>
      <c r="F215" s="7"/>
      <c r="G215" s="7"/>
    </row>
    <row r="216" ht="14.25" customHeight="1">
      <c r="A216" s="5">
        <v>43958.0</v>
      </c>
      <c r="B216" s="6" t="s">
        <v>17</v>
      </c>
      <c r="C216" s="6">
        <v>32851.5</v>
      </c>
      <c r="D216" s="6">
        <v>2934504.0</v>
      </c>
      <c r="E216" s="7"/>
      <c r="F216" s="7"/>
      <c r="G216" s="7"/>
    </row>
    <row r="217" ht="14.25" customHeight="1">
      <c r="A217" s="8">
        <v>43975.0</v>
      </c>
      <c r="B217" s="9" t="s">
        <v>17</v>
      </c>
      <c r="C217" s="9">
        <v>38194.5</v>
      </c>
      <c r="D217" s="9">
        <v>3449302.5</v>
      </c>
      <c r="E217" s="7"/>
      <c r="F217" s="7"/>
      <c r="G217" s="7"/>
    </row>
    <row r="218" ht="14.25" customHeight="1">
      <c r="A218" s="5">
        <v>43982.0</v>
      </c>
      <c r="B218" s="6" t="s">
        <v>17</v>
      </c>
      <c r="C218" s="6">
        <v>42423.0</v>
      </c>
      <c r="D218" s="6">
        <v>3994153.5</v>
      </c>
      <c r="E218" s="7"/>
      <c r="F218" s="7"/>
      <c r="G218" s="7"/>
    </row>
    <row r="219" ht="14.25" customHeight="1">
      <c r="A219" s="8">
        <v>43981.0</v>
      </c>
      <c r="B219" s="9" t="s">
        <v>17</v>
      </c>
      <c r="C219" s="9">
        <v>48286.5</v>
      </c>
      <c r="D219" s="9">
        <v>4456441.5</v>
      </c>
      <c r="E219" s="7"/>
      <c r="F219" s="7"/>
      <c r="G219" s="7"/>
    </row>
    <row r="220" ht="14.25" customHeight="1">
      <c r="A220" s="5">
        <v>43979.0</v>
      </c>
      <c r="B220" s="6" t="s">
        <v>17</v>
      </c>
      <c r="C220" s="6">
        <v>41442.0</v>
      </c>
      <c r="D220" s="6">
        <v>3893680.5</v>
      </c>
      <c r="E220" s="7"/>
      <c r="F220" s="7"/>
      <c r="G220" s="7"/>
    </row>
    <row r="221" ht="14.25" customHeight="1">
      <c r="A221" s="8">
        <v>43967.0</v>
      </c>
      <c r="B221" s="9" t="s">
        <v>18</v>
      </c>
      <c r="C221" s="9">
        <v>18600.0</v>
      </c>
      <c r="D221" s="9">
        <v>1601425.5</v>
      </c>
      <c r="E221" s="7"/>
      <c r="F221" s="7"/>
      <c r="G221" s="7"/>
    </row>
    <row r="222" ht="14.25" customHeight="1">
      <c r="A222" s="5">
        <v>43970.0</v>
      </c>
      <c r="B222" s="6" t="s">
        <v>18</v>
      </c>
      <c r="C222" s="6">
        <v>16638.0</v>
      </c>
      <c r="D222" s="6">
        <v>1364847.0</v>
      </c>
      <c r="E222" s="7"/>
      <c r="F222" s="7"/>
      <c r="G222" s="7"/>
    </row>
    <row r="223" ht="14.25" customHeight="1">
      <c r="A223" s="8">
        <v>43968.0</v>
      </c>
      <c r="B223" s="9" t="s">
        <v>18</v>
      </c>
      <c r="C223" s="9">
        <v>15609.0</v>
      </c>
      <c r="D223" s="9">
        <v>1377577.5</v>
      </c>
      <c r="E223" s="7"/>
      <c r="F223" s="7"/>
      <c r="G223" s="7"/>
    </row>
    <row r="224" ht="14.25" customHeight="1">
      <c r="A224" s="5">
        <v>43960.0</v>
      </c>
      <c r="B224" s="6" t="s">
        <v>18</v>
      </c>
      <c r="C224" s="6">
        <v>13948.5</v>
      </c>
      <c r="D224" s="6">
        <v>1222932.0</v>
      </c>
      <c r="E224" s="7"/>
      <c r="F224" s="7"/>
      <c r="G224" s="7"/>
    </row>
    <row r="225" ht="14.25" customHeight="1">
      <c r="A225" s="8">
        <v>43955.0</v>
      </c>
      <c r="B225" s="9" t="s">
        <v>18</v>
      </c>
      <c r="C225" s="9">
        <v>12301.5</v>
      </c>
      <c r="D225" s="9">
        <v>1085211.0</v>
      </c>
      <c r="E225" s="7"/>
      <c r="F225" s="7"/>
      <c r="G225" s="7"/>
    </row>
    <row r="226" ht="14.25" customHeight="1">
      <c r="A226" s="5">
        <v>43950.0</v>
      </c>
      <c r="B226" s="6" t="s">
        <v>18</v>
      </c>
      <c r="C226" s="6">
        <v>13014.0</v>
      </c>
      <c r="D226" s="6">
        <v>1115992.5</v>
      </c>
      <c r="E226" s="7"/>
      <c r="F226" s="7"/>
      <c r="G226" s="7"/>
    </row>
    <row r="227" ht="14.25" customHeight="1">
      <c r="A227" s="8">
        <v>43953.0</v>
      </c>
      <c r="B227" s="9" t="s">
        <v>18</v>
      </c>
      <c r="C227" s="9">
        <v>12313.5</v>
      </c>
      <c r="D227" s="9">
        <v>1053220.5</v>
      </c>
      <c r="E227" s="7"/>
      <c r="F227" s="7"/>
      <c r="G227" s="7"/>
    </row>
    <row r="228" ht="14.25" customHeight="1">
      <c r="A228" s="5">
        <v>43977.0</v>
      </c>
      <c r="B228" s="6" t="s">
        <v>18</v>
      </c>
      <c r="C228" s="6">
        <v>17391.0</v>
      </c>
      <c r="D228" s="6">
        <v>1489132.5</v>
      </c>
      <c r="E228" s="7"/>
      <c r="F228" s="7"/>
      <c r="G228" s="7"/>
    </row>
    <row r="229" ht="14.25" customHeight="1">
      <c r="A229" s="8">
        <v>43952.0</v>
      </c>
      <c r="B229" s="9" t="s">
        <v>18</v>
      </c>
      <c r="C229" s="9">
        <v>17113.5</v>
      </c>
      <c r="D229" s="9">
        <v>1465842.0</v>
      </c>
      <c r="E229" s="7"/>
      <c r="F229" s="7"/>
      <c r="G229" s="7"/>
    </row>
    <row r="230" ht="14.25" customHeight="1">
      <c r="A230" s="5">
        <v>43963.0</v>
      </c>
      <c r="B230" s="6" t="s">
        <v>18</v>
      </c>
      <c r="C230" s="6">
        <v>12802.5</v>
      </c>
      <c r="D230" s="6">
        <v>1123830.0</v>
      </c>
      <c r="E230" s="7"/>
      <c r="F230" s="7"/>
      <c r="G230" s="7"/>
    </row>
    <row r="231" ht="14.25" customHeight="1">
      <c r="A231" s="8">
        <v>43972.0</v>
      </c>
      <c r="B231" s="9" t="s">
        <v>18</v>
      </c>
      <c r="C231" s="9">
        <v>16554.0</v>
      </c>
      <c r="D231" s="9">
        <v>1380751.5</v>
      </c>
      <c r="E231" s="7"/>
      <c r="F231" s="7"/>
      <c r="G231" s="7"/>
    </row>
    <row r="232" ht="14.25" customHeight="1">
      <c r="A232" s="5">
        <v>43971.0</v>
      </c>
      <c r="B232" s="6" t="s">
        <v>18</v>
      </c>
      <c r="C232" s="6">
        <v>17329.5</v>
      </c>
      <c r="D232" s="6">
        <v>1430254.5</v>
      </c>
      <c r="E232" s="7"/>
      <c r="F232" s="7"/>
      <c r="G232" s="7"/>
    </row>
    <row r="233" ht="14.25" customHeight="1">
      <c r="A233" s="8">
        <v>43956.0</v>
      </c>
      <c r="B233" s="9" t="s">
        <v>18</v>
      </c>
      <c r="C233" s="9">
        <v>15987.0</v>
      </c>
      <c r="D233" s="9">
        <v>1384179.0</v>
      </c>
      <c r="E233" s="7"/>
      <c r="F233" s="7"/>
      <c r="G233" s="7"/>
    </row>
    <row r="234" ht="14.25" customHeight="1">
      <c r="A234" s="5">
        <v>43949.0</v>
      </c>
      <c r="B234" s="6" t="s">
        <v>18</v>
      </c>
      <c r="C234" s="6">
        <v>13303.5</v>
      </c>
      <c r="D234" s="6">
        <v>1102887.0</v>
      </c>
      <c r="E234" s="7"/>
      <c r="F234" s="7"/>
      <c r="G234" s="7"/>
    </row>
    <row r="235" ht="14.25" customHeight="1">
      <c r="A235" s="8">
        <v>43964.0</v>
      </c>
      <c r="B235" s="9" t="s">
        <v>18</v>
      </c>
      <c r="C235" s="9">
        <v>14305.5</v>
      </c>
      <c r="D235" s="9">
        <v>1243507.5</v>
      </c>
      <c r="E235" s="7"/>
      <c r="F235" s="7"/>
      <c r="G235" s="7"/>
    </row>
    <row r="236" ht="14.25" customHeight="1">
      <c r="A236" s="5">
        <v>43954.0</v>
      </c>
      <c r="B236" s="6" t="s">
        <v>18</v>
      </c>
      <c r="C236" s="6">
        <v>12924.0</v>
      </c>
      <c r="D236" s="6">
        <v>1120009.5</v>
      </c>
      <c r="E236" s="7"/>
      <c r="F236" s="7"/>
      <c r="G236" s="7"/>
    </row>
    <row r="237" ht="14.25" customHeight="1">
      <c r="A237" s="8">
        <v>43957.0</v>
      </c>
      <c r="B237" s="9" t="s">
        <v>18</v>
      </c>
      <c r="C237" s="9">
        <v>14061.0</v>
      </c>
      <c r="D237" s="9">
        <v>1221057.0</v>
      </c>
      <c r="E237" s="7"/>
      <c r="F237" s="7"/>
      <c r="G237" s="7"/>
    </row>
    <row r="238" ht="14.25" customHeight="1">
      <c r="A238" s="5">
        <v>43974.0</v>
      </c>
      <c r="B238" s="6" t="s">
        <v>18</v>
      </c>
      <c r="C238" s="6">
        <v>21958.5</v>
      </c>
      <c r="D238" s="6">
        <v>1854001.5</v>
      </c>
      <c r="E238" s="7"/>
      <c r="F238" s="7"/>
      <c r="G238" s="7"/>
    </row>
    <row r="239" ht="14.25" customHeight="1">
      <c r="A239" s="8">
        <v>43976.0</v>
      </c>
      <c r="B239" s="9" t="s">
        <v>18</v>
      </c>
      <c r="C239" s="9">
        <v>17211.0</v>
      </c>
      <c r="D239" s="9">
        <v>1507867.5</v>
      </c>
      <c r="E239" s="7"/>
      <c r="F239" s="7"/>
      <c r="G239" s="7"/>
    </row>
    <row r="240" ht="14.25" customHeight="1">
      <c r="A240" s="5">
        <v>43951.0</v>
      </c>
      <c r="B240" s="6" t="s">
        <v>18</v>
      </c>
      <c r="C240" s="6">
        <v>12753.0</v>
      </c>
      <c r="D240" s="6">
        <v>1103068.5</v>
      </c>
      <c r="E240" s="7"/>
      <c r="F240" s="7"/>
      <c r="G240" s="7"/>
    </row>
    <row r="241" ht="14.25" customHeight="1">
      <c r="A241" s="8">
        <v>43961.0</v>
      </c>
      <c r="B241" s="9" t="s">
        <v>18</v>
      </c>
      <c r="C241" s="9">
        <v>16435.5</v>
      </c>
      <c r="D241" s="9">
        <v>1471537.5</v>
      </c>
      <c r="E241" s="7"/>
      <c r="F241" s="7"/>
      <c r="G241" s="7"/>
    </row>
    <row r="242" ht="14.25" customHeight="1">
      <c r="A242" s="5">
        <v>43959.0</v>
      </c>
      <c r="B242" s="6" t="s">
        <v>18</v>
      </c>
      <c r="C242" s="6">
        <v>14494.5</v>
      </c>
      <c r="D242" s="6">
        <v>1269786.0</v>
      </c>
      <c r="E242" s="7"/>
      <c r="F242" s="7"/>
      <c r="G242" s="7"/>
    </row>
    <row r="243" ht="14.25" customHeight="1">
      <c r="A243" s="8">
        <v>43958.0</v>
      </c>
      <c r="B243" s="9" t="s">
        <v>18</v>
      </c>
      <c r="C243" s="9">
        <v>12705.0</v>
      </c>
      <c r="D243" s="9">
        <v>1123894.5</v>
      </c>
      <c r="E243" s="7"/>
      <c r="F243" s="7"/>
      <c r="G243" s="7"/>
    </row>
    <row r="244" ht="14.25" customHeight="1">
      <c r="A244" s="5">
        <v>43975.0</v>
      </c>
      <c r="B244" s="6" t="s">
        <v>18</v>
      </c>
      <c r="C244" s="6">
        <v>18075.0</v>
      </c>
      <c r="D244" s="6">
        <v>1548099.0</v>
      </c>
      <c r="E244" s="7"/>
      <c r="F244" s="7"/>
      <c r="G244" s="7"/>
    </row>
    <row r="245" ht="14.25" customHeight="1">
      <c r="A245" s="8">
        <v>43967.0</v>
      </c>
      <c r="B245" s="9" t="s">
        <v>19</v>
      </c>
      <c r="C245" s="9">
        <v>13120.5</v>
      </c>
      <c r="D245" s="9">
        <v>1215033.0</v>
      </c>
      <c r="E245" s="7"/>
      <c r="F245" s="7"/>
      <c r="G245" s="7"/>
    </row>
    <row r="246" ht="14.25" customHeight="1">
      <c r="A246" s="5">
        <v>43970.0</v>
      </c>
      <c r="B246" s="6" t="s">
        <v>19</v>
      </c>
      <c r="C246" s="6">
        <v>16237.5</v>
      </c>
      <c r="D246" s="6">
        <v>1403047.5</v>
      </c>
      <c r="E246" s="7"/>
      <c r="F246" s="7"/>
      <c r="G246" s="7"/>
    </row>
    <row r="247" ht="14.25" customHeight="1">
      <c r="A247" s="8">
        <v>43968.0</v>
      </c>
      <c r="B247" s="9" t="s">
        <v>19</v>
      </c>
      <c r="C247" s="9">
        <v>11967.0</v>
      </c>
      <c r="D247" s="9">
        <v>1060489.5</v>
      </c>
      <c r="E247" s="7"/>
      <c r="F247" s="7"/>
      <c r="G247" s="7"/>
    </row>
    <row r="248" ht="14.25" customHeight="1">
      <c r="A248" s="5">
        <v>43960.0</v>
      </c>
      <c r="B248" s="6" t="s">
        <v>19</v>
      </c>
      <c r="C248" s="6">
        <v>12037.5</v>
      </c>
      <c r="D248" s="6">
        <v>1081216.5</v>
      </c>
      <c r="E248" s="7"/>
      <c r="F248" s="7"/>
      <c r="G248" s="7"/>
    </row>
    <row r="249" ht="14.25" customHeight="1">
      <c r="A249" s="8">
        <v>43955.0</v>
      </c>
      <c r="B249" s="9" t="s">
        <v>19</v>
      </c>
      <c r="C249" s="9">
        <v>7087.5</v>
      </c>
      <c r="D249" s="9">
        <v>610855.5</v>
      </c>
      <c r="E249" s="7"/>
      <c r="F249" s="7"/>
      <c r="G249" s="7"/>
    </row>
    <row r="250" ht="14.25" customHeight="1">
      <c r="A250" s="5">
        <v>43950.0</v>
      </c>
      <c r="B250" s="6" t="s">
        <v>20</v>
      </c>
      <c r="C250" s="6">
        <v>25816.5</v>
      </c>
      <c r="D250" s="6">
        <v>2360914.5</v>
      </c>
      <c r="E250" s="7"/>
      <c r="F250" s="7"/>
      <c r="G250" s="7"/>
    </row>
    <row r="251" ht="14.25" customHeight="1">
      <c r="A251" s="8">
        <v>43953.0</v>
      </c>
      <c r="B251" s="9" t="s">
        <v>19</v>
      </c>
      <c r="C251" s="9">
        <v>4624.5</v>
      </c>
      <c r="D251" s="9">
        <v>433243.5</v>
      </c>
      <c r="E251" s="7"/>
      <c r="F251" s="7"/>
      <c r="G251" s="7"/>
    </row>
    <row r="252" ht="14.25" customHeight="1">
      <c r="A252" s="5">
        <v>43977.0</v>
      </c>
      <c r="B252" s="6" t="s">
        <v>19</v>
      </c>
      <c r="C252" s="6">
        <v>12259.5</v>
      </c>
      <c r="D252" s="6">
        <v>1152054.0</v>
      </c>
      <c r="E252" s="7"/>
      <c r="F252" s="7"/>
      <c r="G252" s="7"/>
    </row>
    <row r="253" ht="14.25" customHeight="1">
      <c r="A253" s="8">
        <v>43952.0</v>
      </c>
      <c r="B253" s="9" t="s">
        <v>19</v>
      </c>
      <c r="C253" s="9">
        <v>5446.5</v>
      </c>
      <c r="D253" s="9">
        <v>505572.0</v>
      </c>
      <c r="E253" s="7"/>
      <c r="F253" s="7"/>
      <c r="G253" s="7"/>
    </row>
    <row r="254" ht="14.25" customHeight="1">
      <c r="A254" s="5">
        <v>43963.0</v>
      </c>
      <c r="B254" s="6" t="s">
        <v>19</v>
      </c>
      <c r="C254" s="6">
        <v>11296.5</v>
      </c>
      <c r="D254" s="6">
        <v>989632.5</v>
      </c>
      <c r="E254" s="7"/>
      <c r="F254" s="7"/>
      <c r="G254" s="7"/>
    </row>
    <row r="255" ht="14.25" customHeight="1">
      <c r="A255" s="8">
        <v>43972.0</v>
      </c>
      <c r="B255" s="9" t="s">
        <v>19</v>
      </c>
      <c r="C255" s="9">
        <v>12135.0</v>
      </c>
      <c r="D255" s="9">
        <v>1103623.5</v>
      </c>
      <c r="E255" s="7"/>
      <c r="F255" s="7"/>
      <c r="G255" s="7"/>
    </row>
    <row r="256" ht="14.25" customHeight="1">
      <c r="A256" s="5">
        <v>43971.0</v>
      </c>
      <c r="B256" s="6" t="s">
        <v>19</v>
      </c>
      <c r="C256" s="6">
        <v>12630.0</v>
      </c>
      <c r="D256" s="6">
        <v>1104858.0</v>
      </c>
      <c r="E256" s="7"/>
      <c r="F256" s="7"/>
      <c r="G256" s="7"/>
    </row>
    <row r="257" ht="14.25" customHeight="1">
      <c r="A257" s="8">
        <v>43956.0</v>
      </c>
      <c r="B257" s="9" t="s">
        <v>19</v>
      </c>
      <c r="C257" s="9">
        <v>8223.0</v>
      </c>
      <c r="D257" s="9">
        <v>694593.0</v>
      </c>
      <c r="E257" s="7"/>
      <c r="F257" s="7"/>
      <c r="G257" s="7"/>
    </row>
    <row r="258" ht="14.25" customHeight="1">
      <c r="A258" s="5">
        <v>43949.0</v>
      </c>
      <c r="B258" s="6" t="s">
        <v>20</v>
      </c>
      <c r="C258" s="6">
        <v>25149.0</v>
      </c>
      <c r="D258" s="6">
        <v>2277072.0</v>
      </c>
      <c r="E258" s="7"/>
      <c r="F258" s="7"/>
      <c r="G258" s="7"/>
    </row>
    <row r="259" ht="14.25" customHeight="1">
      <c r="A259" s="8">
        <v>43964.0</v>
      </c>
      <c r="B259" s="9" t="s">
        <v>19</v>
      </c>
      <c r="C259" s="9">
        <v>10401.0</v>
      </c>
      <c r="D259" s="9">
        <v>949912.5</v>
      </c>
      <c r="E259" s="7"/>
      <c r="F259" s="7"/>
      <c r="G259" s="7"/>
    </row>
    <row r="260" ht="14.25" customHeight="1">
      <c r="A260" s="5">
        <v>43982.0</v>
      </c>
      <c r="B260" s="6" t="s">
        <v>18</v>
      </c>
      <c r="C260" s="6">
        <v>17689.5</v>
      </c>
      <c r="D260" s="6">
        <v>1592119.5</v>
      </c>
      <c r="E260" s="7"/>
      <c r="F260" s="7"/>
      <c r="G260" s="7"/>
    </row>
    <row r="261" ht="14.25" customHeight="1">
      <c r="A261" s="8">
        <v>43954.0</v>
      </c>
      <c r="B261" s="9" t="s">
        <v>19</v>
      </c>
      <c r="C261" s="9">
        <v>8127.0</v>
      </c>
      <c r="D261" s="9">
        <v>665302.5</v>
      </c>
      <c r="E261" s="7"/>
      <c r="F261" s="7"/>
      <c r="G261" s="7"/>
    </row>
    <row r="262" ht="14.25" customHeight="1">
      <c r="A262" s="5">
        <v>43981.0</v>
      </c>
      <c r="B262" s="6" t="s">
        <v>18</v>
      </c>
      <c r="C262" s="6">
        <v>27250.5</v>
      </c>
      <c r="D262" s="6">
        <v>2457252.0</v>
      </c>
      <c r="E262" s="7"/>
      <c r="F262" s="7"/>
      <c r="G262" s="7"/>
    </row>
    <row r="263" ht="14.25" customHeight="1">
      <c r="A263" s="8">
        <v>43957.0</v>
      </c>
      <c r="B263" s="9" t="s">
        <v>19</v>
      </c>
      <c r="C263" s="9">
        <v>8464.5</v>
      </c>
      <c r="D263" s="9">
        <v>739291.5</v>
      </c>
      <c r="E263" s="7"/>
      <c r="F263" s="7"/>
      <c r="G263" s="7"/>
    </row>
    <row r="264" ht="14.25" customHeight="1">
      <c r="A264" s="5">
        <v>43974.0</v>
      </c>
      <c r="B264" s="6" t="s">
        <v>19</v>
      </c>
      <c r="C264" s="6">
        <v>14167.5</v>
      </c>
      <c r="D264" s="6">
        <v>1315075.5</v>
      </c>
      <c r="E264" s="7"/>
      <c r="F264" s="7"/>
      <c r="G264" s="7"/>
    </row>
    <row r="265" ht="14.25" customHeight="1">
      <c r="A265" s="8">
        <v>43979.0</v>
      </c>
      <c r="B265" s="9" t="s">
        <v>18</v>
      </c>
      <c r="C265" s="9">
        <v>16500.0</v>
      </c>
      <c r="D265" s="9">
        <v>1487928.0</v>
      </c>
      <c r="E265" s="7"/>
      <c r="F265" s="7"/>
      <c r="G265" s="7"/>
    </row>
    <row r="266" ht="14.25" customHeight="1">
      <c r="A266" s="5">
        <v>43976.0</v>
      </c>
      <c r="B266" s="6" t="s">
        <v>19</v>
      </c>
      <c r="C266" s="6">
        <v>13260.0</v>
      </c>
      <c r="D266" s="6">
        <v>1230687.0</v>
      </c>
      <c r="E266" s="7"/>
      <c r="F266" s="7"/>
      <c r="G266" s="7"/>
    </row>
    <row r="267" ht="14.25" customHeight="1">
      <c r="A267" s="8">
        <v>43951.0</v>
      </c>
      <c r="B267" s="9" t="s">
        <v>19</v>
      </c>
      <c r="C267" s="9">
        <v>4285.5</v>
      </c>
      <c r="D267" s="9">
        <v>404691.0</v>
      </c>
      <c r="E267" s="7"/>
      <c r="F267" s="7"/>
      <c r="G267" s="7"/>
    </row>
    <row r="268" ht="14.25" customHeight="1">
      <c r="A268" s="5">
        <v>43961.0</v>
      </c>
      <c r="B268" s="6" t="s">
        <v>19</v>
      </c>
      <c r="C268" s="6">
        <v>13440.0</v>
      </c>
      <c r="D268" s="6">
        <v>1198285.5</v>
      </c>
      <c r="E268" s="7"/>
      <c r="F268" s="7"/>
      <c r="G268" s="7"/>
    </row>
    <row r="269" ht="14.25" customHeight="1">
      <c r="A269" s="8">
        <v>43959.0</v>
      </c>
      <c r="B269" s="9" t="s">
        <v>19</v>
      </c>
      <c r="C269" s="9">
        <v>9058.5</v>
      </c>
      <c r="D269" s="9">
        <v>798759.0</v>
      </c>
      <c r="E269" s="7"/>
      <c r="F269" s="7"/>
      <c r="G269" s="7"/>
    </row>
    <row r="270" ht="14.25" customHeight="1">
      <c r="A270" s="5">
        <v>43958.0</v>
      </c>
      <c r="B270" s="6" t="s">
        <v>19</v>
      </c>
      <c r="C270" s="6">
        <v>8719.5</v>
      </c>
      <c r="D270" s="6">
        <v>769276.5</v>
      </c>
      <c r="E270" s="7"/>
      <c r="F270" s="7"/>
      <c r="G270" s="7"/>
    </row>
    <row r="271" ht="14.25" customHeight="1">
      <c r="A271" s="8">
        <v>43975.0</v>
      </c>
      <c r="B271" s="9" t="s">
        <v>19</v>
      </c>
      <c r="C271" s="9">
        <v>12666.0</v>
      </c>
      <c r="D271" s="9">
        <v>1184865.0</v>
      </c>
      <c r="E271" s="7"/>
      <c r="F271" s="7"/>
      <c r="G271" s="7"/>
    </row>
    <row r="272" ht="14.25" customHeight="1">
      <c r="A272" s="5">
        <v>43967.0</v>
      </c>
      <c r="B272" s="6" t="s">
        <v>20</v>
      </c>
      <c r="C272" s="6">
        <v>34563.0</v>
      </c>
      <c r="D272" s="6">
        <v>2922883.5</v>
      </c>
      <c r="E272" s="7"/>
      <c r="F272" s="7"/>
      <c r="G272" s="7"/>
    </row>
    <row r="273" ht="14.25" customHeight="1">
      <c r="A273" s="8">
        <v>43970.0</v>
      </c>
      <c r="B273" s="9" t="s">
        <v>20</v>
      </c>
      <c r="C273" s="9">
        <v>28882.5</v>
      </c>
      <c r="D273" s="9">
        <v>2446530.0</v>
      </c>
      <c r="E273" s="7"/>
      <c r="F273" s="7"/>
      <c r="G273" s="7"/>
    </row>
    <row r="274" ht="14.25" customHeight="1">
      <c r="A274" s="5">
        <v>43968.0</v>
      </c>
      <c r="B274" s="6" t="s">
        <v>20</v>
      </c>
      <c r="C274" s="6">
        <v>28275.0</v>
      </c>
      <c r="D274" s="6">
        <v>2435632.5</v>
      </c>
      <c r="E274" s="7"/>
      <c r="F274" s="7"/>
      <c r="G274" s="7"/>
    </row>
    <row r="275" ht="14.25" customHeight="1">
      <c r="A275" s="8">
        <v>43960.0</v>
      </c>
      <c r="B275" s="9" t="s">
        <v>20</v>
      </c>
      <c r="C275" s="9">
        <v>26271.0</v>
      </c>
      <c r="D275" s="9">
        <v>2384937.0</v>
      </c>
      <c r="E275" s="7"/>
      <c r="F275" s="7"/>
      <c r="G275" s="7"/>
    </row>
    <row r="276" ht="14.25" customHeight="1">
      <c r="A276" s="5">
        <v>43955.0</v>
      </c>
      <c r="B276" s="6" t="s">
        <v>20</v>
      </c>
      <c r="C276" s="6">
        <v>23587.5</v>
      </c>
      <c r="D276" s="6">
        <v>2155668.0</v>
      </c>
      <c r="E276" s="7"/>
      <c r="F276" s="7"/>
      <c r="G276" s="7"/>
    </row>
    <row r="277" ht="14.25" customHeight="1">
      <c r="A277" s="8">
        <v>43953.0</v>
      </c>
      <c r="B277" s="9" t="s">
        <v>20</v>
      </c>
      <c r="C277" s="9">
        <v>18427.5</v>
      </c>
      <c r="D277" s="9">
        <v>1682851.5</v>
      </c>
      <c r="E277" s="7"/>
      <c r="F277" s="7"/>
      <c r="G277" s="7"/>
    </row>
    <row r="278" ht="14.25" customHeight="1">
      <c r="A278" s="5">
        <v>43977.0</v>
      </c>
      <c r="B278" s="6" t="s">
        <v>20</v>
      </c>
      <c r="C278" s="6">
        <v>27156.0</v>
      </c>
      <c r="D278" s="6">
        <v>2410803.0</v>
      </c>
      <c r="E278" s="7"/>
      <c r="F278" s="7"/>
      <c r="G278" s="7"/>
    </row>
    <row r="279" ht="14.25" customHeight="1">
      <c r="A279" s="8">
        <v>43952.0</v>
      </c>
      <c r="B279" s="9" t="s">
        <v>20</v>
      </c>
      <c r="C279" s="9">
        <v>35190.0</v>
      </c>
      <c r="D279" s="9">
        <v>3168510.0</v>
      </c>
      <c r="E279" s="7"/>
      <c r="F279" s="7"/>
      <c r="G279" s="7"/>
    </row>
    <row r="280" ht="14.25" customHeight="1">
      <c r="A280" s="5">
        <v>43963.0</v>
      </c>
      <c r="B280" s="6" t="s">
        <v>20</v>
      </c>
      <c r="C280" s="6">
        <v>25483.5</v>
      </c>
      <c r="D280" s="6">
        <v>2243160.0</v>
      </c>
      <c r="E280" s="7"/>
      <c r="F280" s="7"/>
      <c r="G280" s="7"/>
    </row>
    <row r="281" ht="14.25" customHeight="1">
      <c r="A281" s="8">
        <v>43972.0</v>
      </c>
      <c r="B281" s="9" t="s">
        <v>20</v>
      </c>
      <c r="C281" s="9">
        <v>25362.0</v>
      </c>
      <c r="D281" s="9">
        <v>2198935.5</v>
      </c>
      <c r="E281" s="7"/>
      <c r="F281" s="7"/>
      <c r="G281" s="7"/>
    </row>
    <row r="282" ht="14.25" customHeight="1">
      <c r="A282" s="5">
        <v>43971.0</v>
      </c>
      <c r="B282" s="6" t="s">
        <v>20</v>
      </c>
      <c r="C282" s="6">
        <v>28849.5</v>
      </c>
      <c r="D282" s="6">
        <v>2520759.0</v>
      </c>
      <c r="E282" s="7"/>
      <c r="F282" s="7"/>
      <c r="G282" s="7"/>
    </row>
    <row r="283" ht="14.25" customHeight="1">
      <c r="A283" s="8">
        <v>43956.0</v>
      </c>
      <c r="B283" s="9" t="s">
        <v>20</v>
      </c>
      <c r="C283" s="9">
        <v>26367.0</v>
      </c>
      <c r="D283" s="9">
        <v>2380333.5</v>
      </c>
      <c r="E283" s="7"/>
      <c r="F283" s="7"/>
      <c r="G283" s="7"/>
    </row>
    <row r="284" ht="14.25" customHeight="1">
      <c r="A284" s="5">
        <v>43964.0</v>
      </c>
      <c r="B284" s="6" t="s">
        <v>20</v>
      </c>
      <c r="C284" s="6">
        <v>25539.0</v>
      </c>
      <c r="D284" s="6">
        <v>2263651.5</v>
      </c>
      <c r="E284" s="7"/>
      <c r="F284" s="7"/>
      <c r="G284" s="7"/>
    </row>
    <row r="285" ht="14.25" customHeight="1">
      <c r="A285" s="8">
        <v>43982.0</v>
      </c>
      <c r="B285" s="9" t="s">
        <v>19</v>
      </c>
      <c r="C285" s="9">
        <v>14808.0</v>
      </c>
      <c r="D285" s="9">
        <v>1336789.5</v>
      </c>
      <c r="E285" s="7"/>
      <c r="F285" s="7"/>
      <c r="G285" s="7"/>
    </row>
    <row r="286" ht="14.25" customHeight="1">
      <c r="A286" s="5">
        <v>43954.0</v>
      </c>
      <c r="B286" s="6" t="s">
        <v>20</v>
      </c>
      <c r="C286" s="6">
        <v>21343.5</v>
      </c>
      <c r="D286" s="6">
        <v>1906557.0</v>
      </c>
      <c r="E286" s="7"/>
      <c r="F286" s="7"/>
      <c r="G286" s="7"/>
    </row>
    <row r="287" ht="14.25" customHeight="1">
      <c r="A287" s="8">
        <v>43981.0</v>
      </c>
      <c r="B287" s="9" t="s">
        <v>19</v>
      </c>
      <c r="C287" s="9">
        <v>17946.0</v>
      </c>
      <c r="D287" s="9">
        <v>1609090.5</v>
      </c>
      <c r="E287" s="7"/>
      <c r="F287" s="7"/>
      <c r="G287" s="7"/>
    </row>
    <row r="288" ht="14.25" customHeight="1">
      <c r="A288" s="5">
        <v>43957.0</v>
      </c>
      <c r="B288" s="6" t="s">
        <v>20</v>
      </c>
      <c r="C288" s="6">
        <v>24337.5</v>
      </c>
      <c r="D288" s="6">
        <v>2159350.5</v>
      </c>
      <c r="E288" s="7"/>
      <c r="F288" s="7"/>
      <c r="G288" s="7"/>
    </row>
    <row r="289" ht="14.25" customHeight="1">
      <c r="A289" s="8">
        <v>43974.0</v>
      </c>
      <c r="B289" s="9" t="s">
        <v>20</v>
      </c>
      <c r="C289" s="9">
        <v>36997.5</v>
      </c>
      <c r="D289" s="9">
        <v>3089140.5</v>
      </c>
      <c r="E289" s="7"/>
      <c r="F289" s="7"/>
      <c r="G289" s="7"/>
    </row>
    <row r="290" ht="14.25" customHeight="1">
      <c r="A290" s="5">
        <v>43979.0</v>
      </c>
      <c r="B290" s="6" t="s">
        <v>19</v>
      </c>
      <c r="C290" s="6">
        <v>13864.5</v>
      </c>
      <c r="D290" s="6">
        <v>1239747.0</v>
      </c>
      <c r="E290" s="7"/>
      <c r="F290" s="7"/>
      <c r="G290" s="7"/>
    </row>
    <row r="291" ht="14.25" customHeight="1">
      <c r="A291" s="8">
        <v>43976.0</v>
      </c>
      <c r="B291" s="9" t="s">
        <v>20</v>
      </c>
      <c r="C291" s="9">
        <v>28494.0</v>
      </c>
      <c r="D291" s="9">
        <v>2512803.0</v>
      </c>
      <c r="E291" s="7"/>
      <c r="F291" s="7"/>
      <c r="G291" s="7"/>
    </row>
    <row r="292" ht="14.25" customHeight="1">
      <c r="A292" s="5">
        <v>43951.0</v>
      </c>
      <c r="B292" s="6" t="s">
        <v>20</v>
      </c>
      <c r="C292" s="6">
        <v>27883.5</v>
      </c>
      <c r="D292" s="6">
        <v>2560080.0</v>
      </c>
      <c r="E292" s="7"/>
      <c r="F292" s="7"/>
      <c r="G292" s="7"/>
    </row>
    <row r="293" ht="14.25" customHeight="1">
      <c r="A293" s="8">
        <v>43961.0</v>
      </c>
      <c r="B293" s="9" t="s">
        <v>20</v>
      </c>
      <c r="C293" s="9">
        <v>31224.0</v>
      </c>
      <c r="D293" s="9">
        <v>2767270.5</v>
      </c>
      <c r="E293" s="7"/>
      <c r="F293" s="7"/>
      <c r="G293" s="7"/>
    </row>
    <row r="294" ht="14.25" customHeight="1">
      <c r="A294" s="5">
        <v>43959.0</v>
      </c>
      <c r="B294" s="6" t="s">
        <v>20</v>
      </c>
      <c r="C294" s="6">
        <v>25020.0</v>
      </c>
      <c r="D294" s="6">
        <v>2235960.0</v>
      </c>
      <c r="E294" s="7"/>
      <c r="F294" s="7"/>
      <c r="G294" s="7"/>
    </row>
    <row r="295" ht="14.25" customHeight="1">
      <c r="A295" s="8">
        <v>43958.0</v>
      </c>
      <c r="B295" s="9" t="s">
        <v>20</v>
      </c>
      <c r="C295" s="9">
        <v>26184.0</v>
      </c>
      <c r="D295" s="9">
        <v>2308336.5</v>
      </c>
      <c r="E295" s="7"/>
      <c r="F295" s="7"/>
      <c r="G295" s="7"/>
    </row>
    <row r="296" ht="14.25" customHeight="1">
      <c r="A296" s="5">
        <v>43975.0</v>
      </c>
      <c r="B296" s="6" t="s">
        <v>20</v>
      </c>
      <c r="C296" s="6">
        <v>29824.5</v>
      </c>
      <c r="D296" s="6">
        <v>2526909.0</v>
      </c>
      <c r="E296" s="7"/>
      <c r="F296" s="7"/>
      <c r="G296" s="7"/>
    </row>
    <row r="297" ht="14.25" customHeight="1">
      <c r="A297" s="8">
        <v>43950.0</v>
      </c>
      <c r="B297" s="9" t="s">
        <v>21</v>
      </c>
      <c r="C297" s="9">
        <v>208351.5</v>
      </c>
      <c r="D297" s="9">
        <v>2.1615333E7</v>
      </c>
      <c r="E297" s="7"/>
      <c r="F297" s="7"/>
      <c r="G297" s="7"/>
    </row>
    <row r="298" ht="14.25" customHeight="1">
      <c r="A298" s="5">
        <v>43949.0</v>
      </c>
      <c r="B298" s="6" t="s">
        <v>21</v>
      </c>
      <c r="C298" s="6">
        <v>204637.5</v>
      </c>
      <c r="D298" s="6">
        <v>2.11148985E7</v>
      </c>
      <c r="E298" s="7"/>
      <c r="F298" s="7"/>
      <c r="G298" s="7"/>
    </row>
    <row r="299" ht="14.25" customHeight="1">
      <c r="A299" s="8">
        <v>43982.0</v>
      </c>
      <c r="B299" s="9" t="s">
        <v>20</v>
      </c>
      <c r="C299" s="9">
        <v>31372.5</v>
      </c>
      <c r="D299" s="9">
        <v>2794324.5</v>
      </c>
      <c r="E299" s="7"/>
      <c r="F299" s="7"/>
      <c r="G299" s="7"/>
    </row>
    <row r="300" ht="14.25" customHeight="1">
      <c r="A300" s="5">
        <v>43981.0</v>
      </c>
      <c r="B300" s="6" t="s">
        <v>20</v>
      </c>
      <c r="C300" s="6">
        <v>34681.5</v>
      </c>
      <c r="D300" s="6">
        <v>3005334.0</v>
      </c>
      <c r="E300" s="7"/>
      <c r="F300" s="7"/>
      <c r="G300" s="7"/>
    </row>
    <row r="301" ht="14.25" customHeight="1">
      <c r="A301" s="8">
        <v>43979.0</v>
      </c>
      <c r="B301" s="9" t="s">
        <v>20</v>
      </c>
      <c r="C301" s="9">
        <v>28197.0</v>
      </c>
      <c r="D301" s="9">
        <v>2559211.5</v>
      </c>
      <c r="E301" s="7"/>
      <c r="F301" s="7"/>
      <c r="G301" s="7"/>
    </row>
    <row r="302" ht="14.25" customHeight="1">
      <c r="A302" s="5">
        <v>43967.0</v>
      </c>
      <c r="B302" s="6" t="s">
        <v>21</v>
      </c>
      <c r="C302" s="6">
        <v>236551.5</v>
      </c>
      <c r="D302" s="6">
        <v>2.3689383E7</v>
      </c>
      <c r="E302" s="7"/>
      <c r="F302" s="7"/>
      <c r="G302" s="7"/>
    </row>
    <row r="303" ht="14.25" customHeight="1">
      <c r="A303" s="8">
        <v>43970.0</v>
      </c>
      <c r="B303" s="9" t="s">
        <v>21</v>
      </c>
      <c r="C303" s="9">
        <v>223597.5</v>
      </c>
      <c r="D303" s="9">
        <v>2.1945858E7</v>
      </c>
      <c r="E303" s="7"/>
      <c r="F303" s="7"/>
      <c r="G303" s="7"/>
    </row>
    <row r="304" ht="14.25" customHeight="1">
      <c r="A304" s="5">
        <v>43968.0</v>
      </c>
      <c r="B304" s="6" t="s">
        <v>21</v>
      </c>
      <c r="C304" s="6">
        <v>193363.5</v>
      </c>
      <c r="D304" s="6">
        <v>1.9546386E7</v>
      </c>
      <c r="E304" s="7"/>
      <c r="F304" s="7"/>
      <c r="G304" s="7"/>
    </row>
    <row r="305" ht="14.25" customHeight="1">
      <c r="A305" s="8">
        <v>43960.0</v>
      </c>
      <c r="B305" s="9" t="s">
        <v>21</v>
      </c>
      <c r="C305" s="9">
        <v>188319.0</v>
      </c>
      <c r="D305" s="9">
        <v>1.92186315E7</v>
      </c>
      <c r="E305" s="7"/>
      <c r="F305" s="7"/>
      <c r="G305" s="7"/>
    </row>
    <row r="306" ht="14.25" customHeight="1">
      <c r="A306" s="5">
        <v>43955.0</v>
      </c>
      <c r="B306" s="6" t="s">
        <v>21</v>
      </c>
      <c r="C306" s="6">
        <v>237544.5</v>
      </c>
      <c r="D306" s="6">
        <v>2.4292218E7</v>
      </c>
      <c r="E306" s="7"/>
      <c r="F306" s="7"/>
      <c r="G306" s="7"/>
    </row>
    <row r="307" ht="14.25" customHeight="1">
      <c r="A307" s="8">
        <v>43950.0</v>
      </c>
      <c r="B307" s="9" t="s">
        <v>22</v>
      </c>
      <c r="C307" s="9">
        <v>203209.5</v>
      </c>
      <c r="D307" s="9">
        <v>2.08713915E7</v>
      </c>
      <c r="E307" s="7"/>
      <c r="F307" s="7"/>
      <c r="G307" s="7"/>
    </row>
    <row r="308" ht="14.25" customHeight="1">
      <c r="A308" s="5">
        <v>43953.0</v>
      </c>
      <c r="B308" s="6" t="s">
        <v>21</v>
      </c>
      <c r="C308" s="6">
        <v>185979.0</v>
      </c>
      <c r="D308" s="6">
        <v>1.9625364E7</v>
      </c>
      <c r="E308" s="7"/>
      <c r="F308" s="7"/>
      <c r="G308" s="7"/>
    </row>
    <row r="309" ht="14.25" customHeight="1">
      <c r="A309" s="8">
        <v>43977.0</v>
      </c>
      <c r="B309" s="9" t="s">
        <v>21</v>
      </c>
      <c r="C309" s="9">
        <v>244905.0</v>
      </c>
      <c r="D309" s="9">
        <v>2.51634315E7</v>
      </c>
      <c r="E309" s="7"/>
      <c r="F309" s="7"/>
      <c r="G309" s="7"/>
    </row>
    <row r="310" ht="14.25" customHeight="1">
      <c r="A310" s="5">
        <v>43952.0</v>
      </c>
      <c r="B310" s="6" t="s">
        <v>21</v>
      </c>
      <c r="C310" s="6">
        <v>239409.0</v>
      </c>
      <c r="D310" s="6">
        <v>2.5413351E7</v>
      </c>
      <c r="E310" s="7"/>
      <c r="F310" s="7"/>
      <c r="G310" s="7"/>
    </row>
    <row r="311" ht="14.25" customHeight="1">
      <c r="A311" s="8">
        <v>43963.0</v>
      </c>
      <c r="B311" s="9" t="s">
        <v>21</v>
      </c>
      <c r="C311" s="9">
        <v>192886.5</v>
      </c>
      <c r="D311" s="9">
        <v>1.92051795E7</v>
      </c>
      <c r="E311" s="7"/>
      <c r="F311" s="7"/>
      <c r="G311" s="7"/>
    </row>
    <row r="312" ht="14.25" customHeight="1">
      <c r="A312" s="5">
        <v>43972.0</v>
      </c>
      <c r="B312" s="6" t="s">
        <v>21</v>
      </c>
      <c r="C312" s="6">
        <v>224233.5</v>
      </c>
      <c r="D312" s="6">
        <v>2.2253295E7</v>
      </c>
      <c r="E312" s="7"/>
      <c r="F312" s="7"/>
      <c r="G312" s="7"/>
    </row>
    <row r="313" ht="14.25" customHeight="1">
      <c r="A313" s="8">
        <v>43971.0</v>
      </c>
      <c r="B313" s="9" t="s">
        <v>21</v>
      </c>
      <c r="C313" s="9">
        <v>219622.5</v>
      </c>
      <c r="D313" s="9">
        <v>2.1959286E7</v>
      </c>
      <c r="E313" s="7"/>
      <c r="F313" s="7"/>
      <c r="G313" s="7"/>
    </row>
    <row r="314" ht="14.25" customHeight="1">
      <c r="A314" s="5">
        <v>43956.0</v>
      </c>
      <c r="B314" s="6" t="s">
        <v>21</v>
      </c>
      <c r="C314" s="6">
        <v>213582.0</v>
      </c>
      <c r="D314" s="6">
        <v>2.19194355E7</v>
      </c>
      <c r="E314" s="7"/>
      <c r="F314" s="7"/>
      <c r="G314" s="7"/>
    </row>
    <row r="315" ht="14.25" customHeight="1">
      <c r="A315" s="8">
        <v>43949.0</v>
      </c>
      <c r="B315" s="9" t="s">
        <v>22</v>
      </c>
      <c r="C315" s="9">
        <v>195705.0</v>
      </c>
      <c r="D315" s="9">
        <v>2.00032635E7</v>
      </c>
      <c r="E315" s="7"/>
      <c r="F315" s="7"/>
      <c r="G315" s="7"/>
    </row>
    <row r="316" ht="14.25" customHeight="1">
      <c r="A316" s="5">
        <v>43964.0</v>
      </c>
      <c r="B316" s="6" t="s">
        <v>21</v>
      </c>
      <c r="C316" s="6">
        <v>193722.0</v>
      </c>
      <c r="D316" s="6">
        <v>1.9437273E7</v>
      </c>
      <c r="E316" s="7"/>
      <c r="F316" s="7"/>
      <c r="G316" s="7"/>
    </row>
    <row r="317" ht="14.25" customHeight="1">
      <c r="A317" s="8">
        <v>43954.0</v>
      </c>
      <c r="B317" s="9" t="s">
        <v>21</v>
      </c>
      <c r="C317" s="9">
        <v>257215.5</v>
      </c>
      <c r="D317" s="9">
        <v>2.64922785E7</v>
      </c>
      <c r="E317" s="7"/>
      <c r="F317" s="7"/>
      <c r="G317" s="7"/>
    </row>
    <row r="318" ht="14.25" customHeight="1">
      <c r="A318" s="5">
        <v>43957.0</v>
      </c>
      <c r="B318" s="6" t="s">
        <v>21</v>
      </c>
      <c r="C318" s="6">
        <v>224779.5</v>
      </c>
      <c r="D318" s="6">
        <v>2.3032992E7</v>
      </c>
      <c r="E318" s="7"/>
      <c r="F318" s="7"/>
      <c r="G318" s="7"/>
    </row>
    <row r="319" ht="14.25" customHeight="1">
      <c r="A319" s="8">
        <v>43974.0</v>
      </c>
      <c r="B319" s="9" t="s">
        <v>21</v>
      </c>
      <c r="C319" s="9">
        <v>292018.5</v>
      </c>
      <c r="D319" s="9">
        <v>2.85909105E7</v>
      </c>
      <c r="E319" s="7"/>
      <c r="F319" s="7"/>
      <c r="G319" s="7"/>
    </row>
    <row r="320" ht="14.25" customHeight="1">
      <c r="A320" s="5">
        <v>43976.0</v>
      </c>
      <c r="B320" s="6" t="s">
        <v>21</v>
      </c>
      <c r="C320" s="6">
        <v>198751.5</v>
      </c>
      <c r="D320" s="6">
        <v>2.05827435E7</v>
      </c>
      <c r="E320" s="7"/>
      <c r="F320" s="7"/>
      <c r="G320" s="7"/>
    </row>
    <row r="321" ht="14.25" customHeight="1">
      <c r="A321" s="8">
        <v>43951.0</v>
      </c>
      <c r="B321" s="9" t="s">
        <v>21</v>
      </c>
      <c r="C321" s="9">
        <v>214386.0</v>
      </c>
      <c r="D321" s="9">
        <v>2.253E7</v>
      </c>
      <c r="E321" s="7"/>
      <c r="F321" s="7"/>
      <c r="G321" s="7"/>
    </row>
    <row r="322" ht="14.25" customHeight="1">
      <c r="A322" s="5">
        <v>43961.0</v>
      </c>
      <c r="B322" s="6" t="s">
        <v>21</v>
      </c>
      <c r="C322" s="6">
        <v>243825.0</v>
      </c>
      <c r="D322" s="6">
        <v>2.48904045E7</v>
      </c>
      <c r="E322" s="7"/>
      <c r="F322" s="7"/>
      <c r="G322" s="7"/>
    </row>
    <row r="323" ht="14.25" customHeight="1">
      <c r="A323" s="8">
        <v>43959.0</v>
      </c>
      <c r="B323" s="9" t="s">
        <v>21</v>
      </c>
      <c r="C323" s="9">
        <v>232701.0</v>
      </c>
      <c r="D323" s="9">
        <v>2.38819485E7</v>
      </c>
      <c r="E323" s="7"/>
      <c r="F323" s="7"/>
      <c r="G323" s="7"/>
    </row>
    <row r="324" ht="14.25" customHeight="1">
      <c r="A324" s="5">
        <v>43958.0</v>
      </c>
      <c r="B324" s="6" t="s">
        <v>21</v>
      </c>
      <c r="C324" s="6">
        <v>219411.0</v>
      </c>
      <c r="D324" s="6">
        <v>2.246013E7</v>
      </c>
      <c r="E324" s="7"/>
      <c r="F324" s="7"/>
      <c r="G324" s="7"/>
    </row>
    <row r="325" ht="14.25" customHeight="1">
      <c r="A325" s="8">
        <v>43975.0</v>
      </c>
      <c r="B325" s="9" t="s">
        <v>21</v>
      </c>
      <c r="C325" s="9">
        <v>200029.5</v>
      </c>
      <c r="D325" s="9">
        <v>1.9959801E7</v>
      </c>
      <c r="E325" s="7"/>
      <c r="F325" s="7"/>
      <c r="G325" s="7"/>
    </row>
    <row r="326" ht="14.25" customHeight="1">
      <c r="A326" s="5">
        <v>43967.0</v>
      </c>
      <c r="B326" s="6" t="s">
        <v>22</v>
      </c>
      <c r="C326" s="6">
        <v>225480.0</v>
      </c>
      <c r="D326" s="6">
        <v>2.23553385E7</v>
      </c>
      <c r="E326" s="7"/>
      <c r="F326" s="7"/>
      <c r="G326" s="7"/>
    </row>
    <row r="327" ht="14.25" customHeight="1">
      <c r="A327" s="8">
        <v>43970.0</v>
      </c>
      <c r="B327" s="9" t="s">
        <v>22</v>
      </c>
      <c r="C327" s="9">
        <v>211453.5</v>
      </c>
      <c r="D327" s="9">
        <v>2.05900725E7</v>
      </c>
      <c r="E327" s="7"/>
      <c r="F327" s="7"/>
      <c r="G327" s="7"/>
    </row>
    <row r="328" ht="14.25" customHeight="1">
      <c r="A328" s="5">
        <v>43968.0</v>
      </c>
      <c r="B328" s="6" t="s">
        <v>22</v>
      </c>
      <c r="C328" s="6">
        <v>184801.5</v>
      </c>
      <c r="D328" s="6">
        <v>1.8449091E7</v>
      </c>
      <c r="E328" s="7"/>
      <c r="F328" s="7"/>
      <c r="G328" s="7"/>
    </row>
    <row r="329" ht="14.25" customHeight="1">
      <c r="A329" s="8">
        <v>43960.0</v>
      </c>
      <c r="B329" s="9" t="s">
        <v>22</v>
      </c>
      <c r="C329" s="9">
        <v>177976.5</v>
      </c>
      <c r="D329" s="9">
        <v>1.80857985E7</v>
      </c>
      <c r="E329" s="7"/>
      <c r="F329" s="7"/>
      <c r="G329" s="7"/>
    </row>
    <row r="330" ht="14.25" customHeight="1">
      <c r="A330" s="5">
        <v>43955.0</v>
      </c>
      <c r="B330" s="6" t="s">
        <v>22</v>
      </c>
      <c r="C330" s="6">
        <v>223617.0</v>
      </c>
      <c r="D330" s="6">
        <v>2.27968275E7</v>
      </c>
      <c r="E330" s="7"/>
      <c r="F330" s="7"/>
      <c r="G330" s="7"/>
    </row>
    <row r="331" ht="14.25" customHeight="1">
      <c r="A331" s="8">
        <v>43953.0</v>
      </c>
      <c r="B331" s="9" t="s">
        <v>22</v>
      </c>
      <c r="C331" s="9">
        <v>176397.0</v>
      </c>
      <c r="D331" s="9">
        <v>1.86259215E7</v>
      </c>
      <c r="E331" s="7"/>
      <c r="F331" s="7"/>
      <c r="G331" s="7"/>
    </row>
    <row r="332" ht="14.25" customHeight="1">
      <c r="A332" s="5">
        <v>43977.0</v>
      </c>
      <c r="B332" s="6" t="s">
        <v>22</v>
      </c>
      <c r="C332" s="6">
        <v>232369.5</v>
      </c>
      <c r="D332" s="6">
        <v>2.3856345E7</v>
      </c>
      <c r="E332" s="7"/>
      <c r="F332" s="7"/>
      <c r="G332" s="7"/>
    </row>
    <row r="333" ht="14.25" customHeight="1">
      <c r="A333" s="8">
        <v>43952.0</v>
      </c>
      <c r="B333" s="9" t="s">
        <v>22</v>
      </c>
      <c r="C333" s="9">
        <v>226540.5</v>
      </c>
      <c r="D333" s="9">
        <v>2.3953536E7</v>
      </c>
      <c r="E333" s="7"/>
      <c r="F333" s="7"/>
      <c r="G333" s="7"/>
    </row>
    <row r="334" ht="14.25" customHeight="1">
      <c r="A334" s="5">
        <v>43963.0</v>
      </c>
      <c r="B334" s="6" t="s">
        <v>22</v>
      </c>
      <c r="C334" s="6">
        <v>189679.5</v>
      </c>
      <c r="D334" s="6">
        <v>1.87180365E7</v>
      </c>
      <c r="E334" s="7"/>
      <c r="F334" s="7"/>
      <c r="G334" s="7"/>
    </row>
    <row r="335" ht="14.25" customHeight="1">
      <c r="A335" s="8">
        <v>43972.0</v>
      </c>
      <c r="B335" s="9" t="s">
        <v>22</v>
      </c>
      <c r="C335" s="9">
        <v>213640.5</v>
      </c>
      <c r="D335" s="9">
        <v>2.10426735E7</v>
      </c>
      <c r="E335" s="7"/>
      <c r="F335" s="7"/>
      <c r="G335" s="7"/>
    </row>
    <row r="336" ht="14.25" customHeight="1">
      <c r="A336" s="5">
        <v>43971.0</v>
      </c>
      <c r="B336" s="6" t="s">
        <v>22</v>
      </c>
      <c r="C336" s="6">
        <v>214885.5</v>
      </c>
      <c r="D336" s="6">
        <v>2.14113495E7</v>
      </c>
      <c r="E336" s="7"/>
      <c r="F336" s="7"/>
      <c r="G336" s="7"/>
    </row>
    <row r="337" ht="14.25" customHeight="1">
      <c r="A337" s="8">
        <v>43956.0</v>
      </c>
      <c r="B337" s="9" t="s">
        <v>22</v>
      </c>
      <c r="C337" s="9">
        <v>203832.0</v>
      </c>
      <c r="D337" s="9">
        <v>2.08801425E7</v>
      </c>
      <c r="E337" s="7"/>
      <c r="F337" s="7"/>
      <c r="G337" s="7"/>
    </row>
    <row r="338" ht="14.25" customHeight="1">
      <c r="A338" s="5">
        <v>43964.0</v>
      </c>
      <c r="B338" s="6" t="s">
        <v>22</v>
      </c>
      <c r="C338" s="6">
        <v>188662.5</v>
      </c>
      <c r="D338" s="6">
        <v>1.87840005E7</v>
      </c>
      <c r="E338" s="7"/>
      <c r="F338" s="7"/>
      <c r="G338" s="7"/>
    </row>
    <row r="339" ht="14.25" customHeight="1">
      <c r="A339" s="8">
        <v>43982.0</v>
      </c>
      <c r="B339" s="9" t="s">
        <v>21</v>
      </c>
      <c r="C339" s="9">
        <v>215277.0</v>
      </c>
      <c r="D339" s="9">
        <v>2.15853165E7</v>
      </c>
      <c r="E339" s="7"/>
      <c r="F339" s="7"/>
      <c r="G339" s="7"/>
    </row>
    <row r="340" ht="14.25" customHeight="1">
      <c r="A340" s="5">
        <v>43954.0</v>
      </c>
      <c r="B340" s="6" t="s">
        <v>22</v>
      </c>
      <c r="C340" s="6">
        <v>248148.0</v>
      </c>
      <c r="D340" s="6">
        <v>2.55190725E7</v>
      </c>
      <c r="E340" s="7"/>
      <c r="F340" s="7"/>
      <c r="G340" s="7"/>
    </row>
    <row r="341" ht="14.25" customHeight="1">
      <c r="A341" s="8">
        <v>43981.0</v>
      </c>
      <c r="B341" s="9" t="s">
        <v>21</v>
      </c>
      <c r="C341" s="9">
        <v>246414.0</v>
      </c>
      <c r="D341" s="9">
        <v>2.45272455E7</v>
      </c>
      <c r="E341" s="7"/>
      <c r="F341" s="7"/>
      <c r="G341" s="7"/>
    </row>
    <row r="342" ht="14.25" customHeight="1">
      <c r="A342" s="5">
        <v>43957.0</v>
      </c>
      <c r="B342" s="6" t="s">
        <v>22</v>
      </c>
      <c r="C342" s="6">
        <v>216498.0</v>
      </c>
      <c r="D342" s="6">
        <v>2.21264445E7</v>
      </c>
      <c r="E342" s="7"/>
      <c r="F342" s="7"/>
      <c r="G342" s="7"/>
    </row>
    <row r="343" ht="14.25" customHeight="1">
      <c r="A343" s="8">
        <v>43974.0</v>
      </c>
      <c r="B343" s="9" t="s">
        <v>22</v>
      </c>
      <c r="C343" s="9">
        <v>275793.0</v>
      </c>
      <c r="D343" s="9">
        <v>2.6806626E7</v>
      </c>
      <c r="E343" s="7"/>
      <c r="F343" s="7"/>
      <c r="G343" s="7"/>
    </row>
    <row r="344" ht="14.25" customHeight="1">
      <c r="A344" s="5">
        <v>43979.0</v>
      </c>
      <c r="B344" s="6" t="s">
        <v>21</v>
      </c>
      <c r="C344" s="6">
        <v>199753.5</v>
      </c>
      <c r="D344" s="6">
        <v>2.05357335E7</v>
      </c>
      <c r="E344" s="7"/>
      <c r="F344" s="7"/>
      <c r="G344" s="7"/>
    </row>
    <row r="345" ht="14.25" customHeight="1">
      <c r="A345" s="8">
        <v>43976.0</v>
      </c>
      <c r="B345" s="9" t="s">
        <v>22</v>
      </c>
      <c r="C345" s="9">
        <v>192948.0</v>
      </c>
      <c r="D345" s="9">
        <v>1.9806927E7</v>
      </c>
      <c r="E345" s="7"/>
      <c r="F345" s="7"/>
      <c r="G345" s="7"/>
    </row>
    <row r="346" ht="14.25" customHeight="1">
      <c r="A346" s="5">
        <v>43951.0</v>
      </c>
      <c r="B346" s="6" t="s">
        <v>22</v>
      </c>
      <c r="C346" s="6">
        <v>206038.5</v>
      </c>
      <c r="D346" s="6">
        <v>2.174046E7</v>
      </c>
      <c r="E346" s="7"/>
      <c r="F346" s="7"/>
      <c r="G346" s="7"/>
    </row>
    <row r="347" ht="14.25" customHeight="1">
      <c r="A347" s="8">
        <v>43961.0</v>
      </c>
      <c r="B347" s="9" t="s">
        <v>22</v>
      </c>
      <c r="C347" s="9">
        <v>231559.5</v>
      </c>
      <c r="D347" s="9">
        <v>2.3443725E7</v>
      </c>
      <c r="E347" s="7"/>
      <c r="F347" s="7"/>
      <c r="G347" s="7"/>
    </row>
    <row r="348" ht="14.25" customHeight="1">
      <c r="A348" s="5">
        <v>43959.0</v>
      </c>
      <c r="B348" s="6" t="s">
        <v>22</v>
      </c>
      <c r="C348" s="6">
        <v>225076.5</v>
      </c>
      <c r="D348" s="6">
        <v>2.28460785E7</v>
      </c>
      <c r="E348" s="7"/>
      <c r="F348" s="7"/>
      <c r="G348" s="7"/>
    </row>
    <row r="349" ht="14.25" customHeight="1">
      <c r="A349" s="8">
        <v>43958.0</v>
      </c>
      <c r="B349" s="9" t="s">
        <v>22</v>
      </c>
      <c r="C349" s="9">
        <v>209415.0</v>
      </c>
      <c r="D349" s="9">
        <v>2.1463023E7</v>
      </c>
      <c r="E349" s="7"/>
      <c r="F349" s="7"/>
      <c r="G349" s="7"/>
    </row>
    <row r="350" ht="14.25" customHeight="1">
      <c r="A350" s="5">
        <v>43975.0</v>
      </c>
      <c r="B350" s="6" t="s">
        <v>22</v>
      </c>
      <c r="C350" s="6">
        <v>193719.0</v>
      </c>
      <c r="D350" s="6">
        <v>1.9071117E7</v>
      </c>
      <c r="E350" s="7"/>
      <c r="F350" s="7"/>
      <c r="G350" s="7"/>
    </row>
    <row r="351" ht="14.25" customHeight="1">
      <c r="A351" s="8">
        <v>43950.0</v>
      </c>
      <c r="B351" s="9" t="s">
        <v>23</v>
      </c>
      <c r="C351" s="9">
        <v>12250.5</v>
      </c>
      <c r="D351" s="9">
        <v>981519.0</v>
      </c>
      <c r="E351" s="7"/>
      <c r="F351" s="7"/>
      <c r="G351" s="7"/>
    </row>
    <row r="352" ht="14.25" customHeight="1">
      <c r="A352" s="5">
        <v>43949.0</v>
      </c>
      <c r="B352" s="6" t="s">
        <v>23</v>
      </c>
      <c r="C352" s="6">
        <v>12541.5</v>
      </c>
      <c r="D352" s="6">
        <v>992541.0</v>
      </c>
      <c r="E352" s="7"/>
      <c r="F352" s="7"/>
      <c r="G352" s="7"/>
    </row>
    <row r="353" ht="14.25" customHeight="1">
      <c r="A353" s="8">
        <v>43982.0</v>
      </c>
      <c r="B353" s="9" t="s">
        <v>22</v>
      </c>
      <c r="C353" s="9">
        <v>206758.5</v>
      </c>
      <c r="D353" s="9">
        <v>2.07172485E7</v>
      </c>
      <c r="E353" s="7"/>
      <c r="F353" s="7"/>
      <c r="G353" s="7"/>
    </row>
    <row r="354" ht="14.25" customHeight="1">
      <c r="A354" s="5">
        <v>43981.0</v>
      </c>
      <c r="B354" s="6" t="s">
        <v>22</v>
      </c>
      <c r="C354" s="6">
        <v>244734.0</v>
      </c>
      <c r="D354" s="6">
        <v>2.415198E7</v>
      </c>
      <c r="E354" s="7"/>
      <c r="F354" s="7"/>
      <c r="G354" s="7"/>
    </row>
    <row r="355" ht="14.25" customHeight="1">
      <c r="A355" s="8">
        <v>43979.0</v>
      </c>
      <c r="B355" s="9" t="s">
        <v>22</v>
      </c>
      <c r="C355" s="9">
        <v>191641.5</v>
      </c>
      <c r="D355" s="9">
        <v>1.95490365E7</v>
      </c>
      <c r="E355" s="7"/>
      <c r="F355" s="7"/>
      <c r="G355" s="7"/>
    </row>
    <row r="356" ht="14.25" customHeight="1">
      <c r="A356" s="5">
        <v>43967.0</v>
      </c>
      <c r="B356" s="6" t="s">
        <v>23</v>
      </c>
      <c r="C356" s="6">
        <v>16368.0</v>
      </c>
      <c r="D356" s="6">
        <v>1316350.5</v>
      </c>
      <c r="E356" s="7"/>
      <c r="F356" s="7"/>
      <c r="G356" s="7"/>
    </row>
    <row r="357" ht="14.25" customHeight="1">
      <c r="A357" s="8">
        <v>43970.0</v>
      </c>
      <c r="B357" s="9" t="s">
        <v>23</v>
      </c>
      <c r="C357" s="9">
        <v>14427.0</v>
      </c>
      <c r="D357" s="9">
        <v>1126810.5</v>
      </c>
      <c r="E357" s="7"/>
      <c r="F357" s="7"/>
      <c r="G357" s="7"/>
    </row>
    <row r="358" ht="14.25" customHeight="1">
      <c r="A358" s="5">
        <v>43968.0</v>
      </c>
      <c r="B358" s="6" t="s">
        <v>23</v>
      </c>
      <c r="C358" s="6">
        <v>13440.0</v>
      </c>
      <c r="D358" s="6">
        <v>1157529.0</v>
      </c>
      <c r="E358" s="7"/>
      <c r="F358" s="7"/>
      <c r="G358" s="7"/>
    </row>
    <row r="359" ht="14.25" customHeight="1">
      <c r="A359" s="8">
        <v>43960.0</v>
      </c>
      <c r="B359" s="9" t="s">
        <v>23</v>
      </c>
      <c r="C359" s="9">
        <v>11745.0</v>
      </c>
      <c r="D359" s="9">
        <v>955801.5</v>
      </c>
      <c r="E359" s="7"/>
      <c r="F359" s="7"/>
      <c r="G359" s="7"/>
    </row>
    <row r="360" ht="14.25" customHeight="1">
      <c r="A360" s="5">
        <v>43955.0</v>
      </c>
      <c r="B360" s="6" t="s">
        <v>23</v>
      </c>
      <c r="C360" s="6">
        <v>11062.5</v>
      </c>
      <c r="D360" s="6">
        <v>906343.5</v>
      </c>
      <c r="E360" s="7"/>
      <c r="F360" s="7"/>
      <c r="G360" s="7"/>
    </row>
    <row r="361" ht="14.25" customHeight="1">
      <c r="A361" s="8">
        <v>43953.0</v>
      </c>
      <c r="B361" s="9" t="s">
        <v>23</v>
      </c>
      <c r="C361" s="9">
        <v>10018.5</v>
      </c>
      <c r="D361" s="9">
        <v>816859.5</v>
      </c>
      <c r="E361" s="7"/>
      <c r="F361" s="7"/>
      <c r="G361" s="7"/>
    </row>
    <row r="362" ht="14.25" customHeight="1">
      <c r="A362" s="5">
        <v>43977.0</v>
      </c>
      <c r="B362" s="6" t="s">
        <v>24</v>
      </c>
      <c r="C362" s="6">
        <v>10437.0</v>
      </c>
      <c r="D362" s="6">
        <v>833815.5</v>
      </c>
      <c r="E362" s="7"/>
      <c r="F362" s="7"/>
      <c r="G362" s="7"/>
    </row>
    <row r="363" ht="14.25" customHeight="1">
      <c r="A363" s="8">
        <v>43952.0</v>
      </c>
      <c r="B363" s="9" t="s">
        <v>23</v>
      </c>
      <c r="C363" s="9">
        <v>13644.0</v>
      </c>
      <c r="D363" s="9">
        <v>1134444.0</v>
      </c>
      <c r="E363" s="7"/>
      <c r="F363" s="7"/>
      <c r="G363" s="7"/>
    </row>
    <row r="364" ht="14.25" customHeight="1">
      <c r="A364" s="5">
        <v>43963.0</v>
      </c>
      <c r="B364" s="6" t="s">
        <v>23</v>
      </c>
      <c r="C364" s="6">
        <v>13443.0</v>
      </c>
      <c r="D364" s="6">
        <v>1092277.5</v>
      </c>
      <c r="E364" s="7"/>
      <c r="F364" s="7"/>
      <c r="G364" s="7"/>
    </row>
    <row r="365" ht="14.25" customHeight="1">
      <c r="A365" s="8">
        <v>43972.0</v>
      </c>
      <c r="B365" s="9" t="s">
        <v>23</v>
      </c>
      <c r="C365" s="9">
        <v>14182.5</v>
      </c>
      <c r="D365" s="9">
        <v>1172574.0</v>
      </c>
      <c r="E365" s="7"/>
      <c r="F365" s="7"/>
      <c r="G365" s="7"/>
    </row>
    <row r="366" ht="14.25" customHeight="1">
      <c r="A366" s="5">
        <v>43971.0</v>
      </c>
      <c r="B366" s="6" t="s">
        <v>23</v>
      </c>
      <c r="C366" s="6">
        <v>14928.0</v>
      </c>
      <c r="D366" s="6">
        <v>1217749.5</v>
      </c>
      <c r="E366" s="7"/>
      <c r="F366" s="7"/>
      <c r="G366" s="7"/>
    </row>
    <row r="367" ht="14.25" customHeight="1">
      <c r="A367" s="8">
        <v>43956.0</v>
      </c>
      <c r="B367" s="9" t="s">
        <v>23</v>
      </c>
      <c r="C367" s="9">
        <v>13941.0</v>
      </c>
      <c r="D367" s="9">
        <v>1145575.5</v>
      </c>
      <c r="E367" s="7"/>
      <c r="F367" s="7"/>
      <c r="G367" s="7"/>
    </row>
    <row r="368" ht="14.25" customHeight="1">
      <c r="A368" s="5">
        <v>43964.0</v>
      </c>
      <c r="B368" s="6" t="s">
        <v>23</v>
      </c>
      <c r="C368" s="6">
        <v>14643.0</v>
      </c>
      <c r="D368" s="6">
        <v>1172691.0</v>
      </c>
      <c r="E368" s="7"/>
      <c r="F368" s="7"/>
      <c r="G368" s="7"/>
    </row>
    <row r="369" ht="14.25" customHeight="1">
      <c r="A369" s="8">
        <v>43954.0</v>
      </c>
      <c r="B369" s="9" t="s">
        <v>23</v>
      </c>
      <c r="C369" s="9">
        <v>10032.0</v>
      </c>
      <c r="D369" s="9">
        <v>816150.0</v>
      </c>
      <c r="E369" s="7"/>
      <c r="F369" s="7"/>
      <c r="G369" s="7"/>
    </row>
    <row r="370" ht="14.25" customHeight="1">
      <c r="A370" s="5">
        <v>43957.0</v>
      </c>
      <c r="B370" s="6" t="s">
        <v>23</v>
      </c>
      <c r="C370" s="6">
        <v>12468.0</v>
      </c>
      <c r="D370" s="6">
        <v>1016566.5</v>
      </c>
      <c r="E370" s="7"/>
      <c r="F370" s="7"/>
      <c r="G370" s="7"/>
    </row>
    <row r="371" ht="14.25" customHeight="1">
      <c r="A371" s="8">
        <v>43974.0</v>
      </c>
      <c r="B371" s="9" t="s">
        <v>23</v>
      </c>
      <c r="C371" s="9">
        <v>17943.0</v>
      </c>
      <c r="D371" s="9">
        <v>1457391.0</v>
      </c>
      <c r="E371" s="7"/>
      <c r="F371" s="7"/>
      <c r="G371" s="7"/>
    </row>
    <row r="372" ht="14.25" customHeight="1">
      <c r="A372" s="5">
        <v>43976.0</v>
      </c>
      <c r="B372" s="6" t="s">
        <v>23</v>
      </c>
      <c r="C372" s="6">
        <v>15807.0</v>
      </c>
      <c r="D372" s="6">
        <v>1326705.0</v>
      </c>
      <c r="E372" s="7"/>
      <c r="F372" s="7"/>
      <c r="G372" s="7"/>
    </row>
    <row r="373" ht="14.25" customHeight="1">
      <c r="A373" s="8">
        <v>43951.0</v>
      </c>
      <c r="B373" s="9" t="s">
        <v>23</v>
      </c>
      <c r="C373" s="9">
        <v>11976.0</v>
      </c>
      <c r="D373" s="9">
        <v>1004511.0</v>
      </c>
      <c r="E373" s="7"/>
      <c r="F373" s="7"/>
      <c r="G373" s="7"/>
    </row>
    <row r="374" ht="14.25" customHeight="1">
      <c r="A374" s="5">
        <v>43961.0</v>
      </c>
      <c r="B374" s="6" t="s">
        <v>23</v>
      </c>
      <c r="C374" s="6">
        <v>14566.5</v>
      </c>
      <c r="D374" s="6">
        <v>1216557.0</v>
      </c>
      <c r="E374" s="7"/>
      <c r="F374" s="7"/>
      <c r="G374" s="7"/>
    </row>
    <row r="375" ht="14.25" customHeight="1">
      <c r="A375" s="8">
        <v>43959.0</v>
      </c>
      <c r="B375" s="9" t="s">
        <v>23</v>
      </c>
      <c r="C375" s="9">
        <v>12976.5</v>
      </c>
      <c r="D375" s="9">
        <v>1046848.5</v>
      </c>
      <c r="E375" s="7"/>
      <c r="F375" s="7"/>
      <c r="G375" s="7"/>
    </row>
    <row r="376" ht="14.25" customHeight="1">
      <c r="A376" s="5">
        <v>43958.0</v>
      </c>
      <c r="B376" s="6" t="s">
        <v>23</v>
      </c>
      <c r="C376" s="6">
        <v>11719.5</v>
      </c>
      <c r="D376" s="6">
        <v>965880.0</v>
      </c>
      <c r="E376" s="7"/>
      <c r="F376" s="7"/>
      <c r="G376" s="7"/>
    </row>
    <row r="377" ht="14.25" customHeight="1">
      <c r="A377" s="8">
        <v>43975.0</v>
      </c>
      <c r="B377" s="9" t="s">
        <v>23</v>
      </c>
      <c r="C377" s="9">
        <v>17197.5</v>
      </c>
      <c r="D377" s="9">
        <v>1386262.5</v>
      </c>
      <c r="E377" s="7"/>
      <c r="F377" s="7"/>
      <c r="G377" s="7"/>
    </row>
    <row r="378" ht="14.25" customHeight="1">
      <c r="A378" s="5">
        <v>43977.0</v>
      </c>
      <c r="B378" s="6" t="s">
        <v>23</v>
      </c>
      <c r="C378" s="6">
        <v>14419.5</v>
      </c>
      <c r="D378" s="6">
        <v>1210456.5</v>
      </c>
      <c r="E378" s="7"/>
      <c r="F378" s="7"/>
      <c r="G378" s="7"/>
    </row>
    <row r="379" ht="14.25" customHeight="1">
      <c r="A379" s="8">
        <v>43983.0</v>
      </c>
      <c r="B379" s="9" t="s">
        <v>9</v>
      </c>
      <c r="C379" s="9">
        <v>7816.5</v>
      </c>
      <c r="D379" s="9">
        <v>636345.0</v>
      </c>
      <c r="E379" s="7"/>
      <c r="F379" s="7"/>
      <c r="G379" s="7"/>
    </row>
    <row r="380" ht="14.25" customHeight="1">
      <c r="A380" s="5">
        <v>43982.0</v>
      </c>
      <c r="B380" s="6" t="s">
        <v>25</v>
      </c>
      <c r="C380" s="6">
        <v>6409.5</v>
      </c>
      <c r="D380" s="6">
        <v>493893.0</v>
      </c>
      <c r="E380" s="7"/>
      <c r="F380" s="7"/>
      <c r="G380" s="7"/>
    </row>
    <row r="381" ht="14.25" customHeight="1">
      <c r="A381" s="8">
        <v>43981.0</v>
      </c>
      <c r="B381" s="9" t="s">
        <v>24</v>
      </c>
      <c r="C381" s="9">
        <v>11220.0</v>
      </c>
      <c r="D381" s="9">
        <v>928675.5</v>
      </c>
      <c r="E381" s="7"/>
      <c r="F381" s="7"/>
      <c r="G381" s="7"/>
    </row>
    <row r="382" ht="14.25" customHeight="1">
      <c r="A382" s="5">
        <v>43980.0</v>
      </c>
      <c r="B382" s="6" t="s">
        <v>9</v>
      </c>
      <c r="C382" s="6">
        <v>8350.5</v>
      </c>
      <c r="D382" s="6">
        <v>651237.0</v>
      </c>
      <c r="E382" s="7"/>
      <c r="F382" s="7"/>
      <c r="G382" s="7"/>
    </row>
    <row r="383" ht="14.25" customHeight="1">
      <c r="A383" s="8">
        <v>43979.0</v>
      </c>
      <c r="B383" s="9" t="s">
        <v>24</v>
      </c>
      <c r="C383" s="9">
        <v>8428.5</v>
      </c>
      <c r="D383" s="9">
        <v>694669.5</v>
      </c>
      <c r="E383" s="7"/>
      <c r="F383" s="7"/>
      <c r="G383" s="7"/>
    </row>
    <row r="384" ht="14.25" customHeight="1">
      <c r="A384" s="5">
        <v>43978.0</v>
      </c>
      <c r="B384" s="6" t="s">
        <v>10</v>
      </c>
      <c r="C384" s="6">
        <v>32817.0</v>
      </c>
      <c r="D384" s="6">
        <v>3015751.5</v>
      </c>
      <c r="E384" s="7"/>
      <c r="F384" s="7"/>
      <c r="G384" s="7"/>
    </row>
    <row r="385" ht="14.25" customHeight="1">
      <c r="A385" s="8">
        <v>43973.0</v>
      </c>
      <c r="B385" s="9" t="s">
        <v>10</v>
      </c>
      <c r="C385" s="9">
        <v>36031.5</v>
      </c>
      <c r="D385" s="9">
        <v>3091069.5</v>
      </c>
      <c r="E385" s="7"/>
      <c r="F385" s="7"/>
      <c r="G385" s="7"/>
    </row>
    <row r="386" ht="14.25" customHeight="1">
      <c r="A386" s="5">
        <v>43982.0</v>
      </c>
      <c r="B386" s="6" t="s">
        <v>26</v>
      </c>
      <c r="C386" s="6">
        <v>5127.0</v>
      </c>
      <c r="D386" s="6">
        <v>468835.5</v>
      </c>
      <c r="E386" s="7"/>
      <c r="F386" s="7"/>
      <c r="G386" s="7"/>
    </row>
    <row r="387" ht="14.25" customHeight="1">
      <c r="A387" s="8">
        <v>43962.0</v>
      </c>
      <c r="B387" s="9" t="s">
        <v>10</v>
      </c>
      <c r="C387" s="9">
        <v>27187.5</v>
      </c>
      <c r="D387" s="9">
        <v>2479396.5</v>
      </c>
      <c r="E387" s="7"/>
      <c r="F387" s="7"/>
      <c r="G387" s="7"/>
    </row>
    <row r="388" ht="14.25" customHeight="1">
      <c r="A388" s="5">
        <v>43981.0</v>
      </c>
      <c r="B388" s="6" t="s">
        <v>23</v>
      </c>
      <c r="C388" s="6">
        <v>20688.0</v>
      </c>
      <c r="D388" s="6">
        <v>1773154.5</v>
      </c>
      <c r="E388" s="7"/>
      <c r="F388" s="7"/>
      <c r="G388" s="7"/>
    </row>
    <row r="389" ht="14.25" customHeight="1">
      <c r="A389" s="8">
        <v>43979.0</v>
      </c>
      <c r="B389" s="9" t="s">
        <v>23</v>
      </c>
      <c r="C389" s="9">
        <v>15678.0</v>
      </c>
      <c r="D389" s="9">
        <v>1387443.0</v>
      </c>
      <c r="E389" s="7"/>
      <c r="F389" s="7"/>
      <c r="G389" s="7"/>
    </row>
    <row r="390" ht="14.25" customHeight="1">
      <c r="A390" s="5">
        <v>43969.0</v>
      </c>
      <c r="B390" s="6" t="s">
        <v>10</v>
      </c>
      <c r="C390" s="6">
        <v>31329.0</v>
      </c>
      <c r="D390" s="6">
        <v>2826379.5</v>
      </c>
      <c r="E390" s="7"/>
      <c r="F390" s="7"/>
      <c r="G390" s="7"/>
    </row>
    <row r="391" ht="14.25" customHeight="1">
      <c r="A391" s="8">
        <v>43965.0</v>
      </c>
      <c r="B391" s="9" t="s">
        <v>10</v>
      </c>
      <c r="C391" s="9">
        <v>29658.0</v>
      </c>
      <c r="D391" s="9">
        <v>2703132.0</v>
      </c>
      <c r="E391" s="7"/>
      <c r="F391" s="7"/>
      <c r="G391" s="7"/>
    </row>
    <row r="392" ht="14.25" customHeight="1">
      <c r="A392" s="5">
        <v>43966.0</v>
      </c>
      <c r="B392" s="6" t="s">
        <v>10</v>
      </c>
      <c r="C392" s="6">
        <v>34150.5</v>
      </c>
      <c r="D392" s="6">
        <v>3038293.5</v>
      </c>
      <c r="E392" s="7"/>
      <c r="F392" s="7"/>
      <c r="G392" s="7"/>
    </row>
    <row r="393" ht="14.25" customHeight="1">
      <c r="A393" s="8">
        <v>43983.0</v>
      </c>
      <c r="B393" s="9" t="s">
        <v>10</v>
      </c>
      <c r="C393" s="9">
        <v>31947.0</v>
      </c>
      <c r="D393" s="9">
        <v>2945035.5</v>
      </c>
      <c r="E393" s="7"/>
      <c r="F393" s="7"/>
      <c r="G393" s="7"/>
    </row>
    <row r="394" ht="14.25" customHeight="1">
      <c r="A394" s="5">
        <v>43982.0</v>
      </c>
      <c r="B394" s="6" t="s">
        <v>24</v>
      </c>
      <c r="C394" s="6">
        <v>10416.0</v>
      </c>
      <c r="D394" s="6">
        <v>866023.5</v>
      </c>
      <c r="E394" s="7"/>
      <c r="F394" s="7"/>
      <c r="G394" s="7"/>
    </row>
    <row r="395" ht="14.25" customHeight="1">
      <c r="A395" s="8">
        <v>43980.0</v>
      </c>
      <c r="B395" s="9" t="s">
        <v>10</v>
      </c>
      <c r="C395" s="9">
        <v>35431.5</v>
      </c>
      <c r="D395" s="9">
        <v>3193167.0</v>
      </c>
      <c r="E395" s="7"/>
      <c r="F395" s="7"/>
      <c r="G395" s="7"/>
    </row>
    <row r="396" ht="14.25" customHeight="1">
      <c r="A396" s="5">
        <v>43978.0</v>
      </c>
      <c r="B396" s="6" t="s">
        <v>11</v>
      </c>
      <c r="C396" s="6">
        <v>78544.5</v>
      </c>
      <c r="D396" s="6">
        <v>6701083.5</v>
      </c>
      <c r="E396" s="7"/>
      <c r="F396" s="7"/>
      <c r="G396" s="7"/>
    </row>
    <row r="397" ht="14.25" customHeight="1">
      <c r="A397" s="8">
        <v>43973.0</v>
      </c>
      <c r="B397" s="9" t="s">
        <v>11</v>
      </c>
      <c r="C397" s="9">
        <v>97963.5</v>
      </c>
      <c r="D397" s="9">
        <v>7728465.0</v>
      </c>
      <c r="E397" s="7"/>
      <c r="F397" s="7"/>
      <c r="G397" s="7"/>
    </row>
    <row r="398" ht="14.25" customHeight="1">
      <c r="A398" s="5">
        <v>43983.0</v>
      </c>
      <c r="B398" s="6" t="s">
        <v>11</v>
      </c>
      <c r="C398" s="6">
        <v>77269.5</v>
      </c>
      <c r="D398" s="6">
        <v>6829921.5</v>
      </c>
      <c r="E398" s="7"/>
      <c r="F398" s="7"/>
      <c r="G398" s="7"/>
    </row>
    <row r="399" ht="14.25" customHeight="1">
      <c r="A399" s="8">
        <v>43982.0</v>
      </c>
      <c r="B399" s="9" t="s">
        <v>23</v>
      </c>
      <c r="C399" s="9">
        <v>16143.0</v>
      </c>
      <c r="D399" s="9">
        <v>1423410.0</v>
      </c>
      <c r="E399" s="7"/>
      <c r="F399" s="7"/>
      <c r="G399" s="7"/>
    </row>
    <row r="400" ht="14.25" customHeight="1">
      <c r="A400" s="5">
        <v>43962.0</v>
      </c>
      <c r="B400" s="6" t="s">
        <v>11</v>
      </c>
      <c r="C400" s="6">
        <v>72220.5</v>
      </c>
      <c r="D400" s="6">
        <v>6398719.5</v>
      </c>
      <c r="E400" s="7"/>
      <c r="F400" s="7"/>
      <c r="G400" s="7"/>
    </row>
    <row r="401" ht="14.25" customHeight="1">
      <c r="A401" s="8">
        <v>43969.0</v>
      </c>
      <c r="B401" s="9" t="s">
        <v>11</v>
      </c>
      <c r="C401" s="9">
        <v>78058.5</v>
      </c>
      <c r="D401" s="9">
        <v>6609714.0</v>
      </c>
      <c r="E401" s="7"/>
      <c r="F401" s="7"/>
      <c r="G401" s="7"/>
    </row>
    <row r="402" ht="14.25" customHeight="1">
      <c r="A402" s="5">
        <v>43965.0</v>
      </c>
      <c r="B402" s="6" t="s">
        <v>11</v>
      </c>
      <c r="C402" s="6">
        <v>70498.5</v>
      </c>
      <c r="D402" s="6">
        <v>6053649.0</v>
      </c>
      <c r="E402" s="7"/>
      <c r="F402" s="7"/>
      <c r="G402" s="7"/>
    </row>
    <row r="403" ht="14.25" customHeight="1">
      <c r="A403" s="8">
        <v>43966.0</v>
      </c>
      <c r="B403" s="9" t="s">
        <v>11</v>
      </c>
      <c r="C403" s="9">
        <v>78961.5</v>
      </c>
      <c r="D403" s="9">
        <v>6876454.5</v>
      </c>
      <c r="E403" s="7"/>
      <c r="F403" s="7"/>
      <c r="G403" s="7"/>
    </row>
    <row r="404" ht="14.25" customHeight="1">
      <c r="A404" s="5">
        <v>43978.0</v>
      </c>
      <c r="B404" s="6" t="s">
        <v>12</v>
      </c>
      <c r="C404" s="6">
        <v>12490.5</v>
      </c>
      <c r="D404" s="6">
        <v>1054798.5</v>
      </c>
      <c r="E404" s="7"/>
      <c r="F404" s="7"/>
      <c r="G404" s="7"/>
    </row>
    <row r="405" ht="14.25" customHeight="1">
      <c r="A405" s="8">
        <v>43973.0</v>
      </c>
      <c r="B405" s="9" t="s">
        <v>12</v>
      </c>
      <c r="C405" s="9">
        <v>18036.0</v>
      </c>
      <c r="D405" s="9">
        <v>1455049.5</v>
      </c>
      <c r="E405" s="7"/>
      <c r="F405" s="7"/>
      <c r="G405" s="7"/>
    </row>
    <row r="406" ht="14.25" customHeight="1">
      <c r="A406" s="5">
        <v>43983.0</v>
      </c>
      <c r="B406" s="6" t="s">
        <v>12</v>
      </c>
      <c r="C406" s="6">
        <v>11416.5</v>
      </c>
      <c r="D406" s="6">
        <v>1007742.0</v>
      </c>
      <c r="E406" s="7"/>
      <c r="F406" s="7"/>
      <c r="G406" s="7"/>
    </row>
    <row r="407" ht="14.25" customHeight="1">
      <c r="A407" s="8">
        <v>43962.0</v>
      </c>
      <c r="B407" s="9" t="s">
        <v>12</v>
      </c>
      <c r="C407" s="9">
        <v>9007.5</v>
      </c>
      <c r="D407" s="9">
        <v>734335.5</v>
      </c>
      <c r="E407" s="7"/>
      <c r="F407" s="7"/>
      <c r="G407" s="7"/>
    </row>
    <row r="408" ht="14.25" customHeight="1">
      <c r="A408" s="5">
        <v>43980.0</v>
      </c>
      <c r="B408" s="6" t="s">
        <v>11</v>
      </c>
      <c r="C408" s="6">
        <v>87552.0</v>
      </c>
      <c r="D408" s="6">
        <v>7387116.0</v>
      </c>
      <c r="E408" s="7"/>
      <c r="F408" s="7"/>
      <c r="G408" s="7"/>
    </row>
    <row r="409" ht="14.25" customHeight="1">
      <c r="A409" s="8">
        <v>43969.0</v>
      </c>
      <c r="B409" s="9" t="s">
        <v>12</v>
      </c>
      <c r="C409" s="9">
        <v>11680.5</v>
      </c>
      <c r="D409" s="9">
        <v>936427.5</v>
      </c>
      <c r="E409" s="7"/>
      <c r="F409" s="7"/>
      <c r="G409" s="7"/>
    </row>
    <row r="410" ht="14.25" customHeight="1">
      <c r="A410" s="5">
        <v>43965.0</v>
      </c>
      <c r="B410" s="6" t="s">
        <v>12</v>
      </c>
      <c r="C410" s="6">
        <v>12037.5</v>
      </c>
      <c r="D410" s="6">
        <v>981564.0</v>
      </c>
      <c r="E410" s="7"/>
      <c r="F410" s="7"/>
      <c r="G410" s="7"/>
    </row>
    <row r="411" ht="14.25" customHeight="1">
      <c r="A411" s="8">
        <v>43966.0</v>
      </c>
      <c r="B411" s="9" t="s">
        <v>12</v>
      </c>
      <c r="C411" s="9">
        <v>14421.0</v>
      </c>
      <c r="D411" s="9">
        <v>1150579.5</v>
      </c>
      <c r="E411" s="7"/>
      <c r="F411" s="7"/>
      <c r="G411" s="7"/>
    </row>
    <row r="412" ht="14.25" customHeight="1">
      <c r="A412" s="5">
        <v>43980.0</v>
      </c>
      <c r="B412" s="6" t="s">
        <v>12</v>
      </c>
      <c r="C412" s="6">
        <v>14823.0</v>
      </c>
      <c r="D412" s="6">
        <v>1273464.0</v>
      </c>
      <c r="E412" s="7"/>
      <c r="F412" s="7"/>
      <c r="G412" s="7"/>
    </row>
    <row r="413" ht="14.25" customHeight="1">
      <c r="A413" s="8">
        <v>43978.0</v>
      </c>
      <c r="B413" s="9" t="s">
        <v>13</v>
      </c>
      <c r="C413" s="9">
        <v>31257.0</v>
      </c>
      <c r="D413" s="9">
        <v>2924133.0</v>
      </c>
      <c r="E413" s="7"/>
      <c r="F413" s="7"/>
      <c r="G413" s="7"/>
    </row>
    <row r="414" ht="14.25" customHeight="1">
      <c r="A414" s="5">
        <v>43973.0</v>
      </c>
      <c r="B414" s="6" t="s">
        <v>13</v>
      </c>
      <c r="C414" s="6">
        <v>38074.5</v>
      </c>
      <c r="D414" s="6">
        <v>3414180.0</v>
      </c>
      <c r="E414" s="7"/>
      <c r="F414" s="7"/>
      <c r="G414" s="7"/>
    </row>
    <row r="415" ht="14.25" customHeight="1">
      <c r="A415" s="8">
        <v>43983.0</v>
      </c>
      <c r="B415" s="9" t="s">
        <v>13</v>
      </c>
      <c r="C415" s="9">
        <v>32170.5</v>
      </c>
      <c r="D415" s="9">
        <v>3013512.0</v>
      </c>
      <c r="E415" s="7"/>
      <c r="F415" s="7"/>
      <c r="G415" s="7"/>
    </row>
    <row r="416" ht="14.25" customHeight="1">
      <c r="A416" s="5">
        <v>43962.0</v>
      </c>
      <c r="B416" s="6" t="s">
        <v>13</v>
      </c>
      <c r="C416" s="6">
        <v>42397.5</v>
      </c>
      <c r="D416" s="6">
        <v>3911979.0</v>
      </c>
      <c r="E416" s="7"/>
      <c r="F416" s="7"/>
      <c r="G416" s="7"/>
    </row>
    <row r="417" ht="14.25" customHeight="1">
      <c r="A417" s="8">
        <v>43969.0</v>
      </c>
      <c r="B417" s="9" t="s">
        <v>13</v>
      </c>
      <c r="C417" s="9">
        <v>28668.0</v>
      </c>
      <c r="D417" s="9">
        <v>2588148.0</v>
      </c>
      <c r="E417" s="7"/>
      <c r="F417" s="7"/>
      <c r="G417" s="7"/>
    </row>
    <row r="418" ht="14.25" customHeight="1">
      <c r="A418" s="5">
        <v>43965.0</v>
      </c>
      <c r="B418" s="6" t="s">
        <v>13</v>
      </c>
      <c r="C418" s="6">
        <v>27411.0</v>
      </c>
      <c r="D418" s="6">
        <v>2441520.0</v>
      </c>
      <c r="E418" s="7"/>
      <c r="F418" s="7"/>
      <c r="G418" s="7"/>
    </row>
    <row r="419" ht="14.25" customHeight="1">
      <c r="A419" s="8">
        <v>43966.0</v>
      </c>
      <c r="B419" s="9" t="s">
        <v>13</v>
      </c>
      <c r="C419" s="9">
        <v>32854.5</v>
      </c>
      <c r="D419" s="9">
        <v>2949078.0</v>
      </c>
      <c r="E419" s="7"/>
      <c r="F419" s="7"/>
      <c r="G419" s="7"/>
    </row>
    <row r="420" ht="14.25" customHeight="1">
      <c r="A420" s="5">
        <v>43980.0</v>
      </c>
      <c r="B420" s="6" t="s">
        <v>13</v>
      </c>
      <c r="C420" s="6">
        <v>35346.0</v>
      </c>
      <c r="D420" s="6">
        <v>3258054.0</v>
      </c>
      <c r="E420" s="7"/>
      <c r="F420" s="7"/>
      <c r="G420" s="7"/>
    </row>
    <row r="421" ht="14.25" customHeight="1">
      <c r="A421" s="8">
        <v>43978.0</v>
      </c>
      <c r="B421" s="9" t="s">
        <v>14</v>
      </c>
      <c r="C421" s="9">
        <v>286558.5</v>
      </c>
      <c r="D421" s="9">
        <v>2.9256993E7</v>
      </c>
      <c r="E421" s="7"/>
      <c r="F421" s="7"/>
      <c r="G421" s="7"/>
    </row>
    <row r="422" ht="14.25" customHeight="1">
      <c r="A422" s="5">
        <v>43973.0</v>
      </c>
      <c r="B422" s="6" t="s">
        <v>14</v>
      </c>
      <c r="C422" s="6">
        <v>304092.0</v>
      </c>
      <c r="D422" s="6">
        <v>2.9465769E7</v>
      </c>
      <c r="E422" s="7"/>
      <c r="F422" s="7"/>
      <c r="G422" s="7"/>
    </row>
    <row r="423" ht="14.25" customHeight="1">
      <c r="A423" s="8">
        <v>43983.0</v>
      </c>
      <c r="B423" s="9" t="s">
        <v>14</v>
      </c>
      <c r="C423" s="9">
        <v>272926.5</v>
      </c>
      <c r="D423" s="9">
        <v>2.77700925E7</v>
      </c>
      <c r="E423" s="7"/>
      <c r="F423" s="7"/>
      <c r="G423" s="7"/>
    </row>
    <row r="424" ht="14.25" customHeight="1">
      <c r="A424" s="5">
        <v>43962.0</v>
      </c>
      <c r="B424" s="6" t="s">
        <v>14</v>
      </c>
      <c r="C424" s="6">
        <v>237099.0</v>
      </c>
      <c r="D424" s="6">
        <v>2.462823322395E7</v>
      </c>
      <c r="E424" s="7"/>
      <c r="F424" s="7"/>
      <c r="G424" s="7"/>
    </row>
    <row r="425" ht="14.25" customHeight="1">
      <c r="A425" s="8">
        <v>43969.0</v>
      </c>
      <c r="B425" s="9" t="s">
        <v>14</v>
      </c>
      <c r="C425" s="9">
        <v>273900.0</v>
      </c>
      <c r="D425" s="9">
        <v>2.7535284147600003E7</v>
      </c>
      <c r="E425" s="7"/>
      <c r="F425" s="7"/>
      <c r="G425" s="7"/>
    </row>
    <row r="426" ht="14.25" customHeight="1">
      <c r="A426" s="5">
        <v>43965.0</v>
      </c>
      <c r="B426" s="6" t="s">
        <v>14</v>
      </c>
      <c r="C426" s="6">
        <v>274059.0</v>
      </c>
      <c r="D426" s="6">
        <v>2.8181292E7</v>
      </c>
      <c r="E426" s="7"/>
      <c r="F426" s="7"/>
      <c r="G426" s="7"/>
    </row>
    <row r="427" ht="14.25" customHeight="1">
      <c r="A427" s="8">
        <v>43966.0</v>
      </c>
      <c r="B427" s="9" t="s">
        <v>14</v>
      </c>
      <c r="C427" s="9">
        <v>318816.0</v>
      </c>
      <c r="D427" s="9">
        <v>3.2354331E7</v>
      </c>
      <c r="E427" s="7"/>
      <c r="F427" s="7"/>
      <c r="G427" s="7"/>
    </row>
    <row r="428" ht="14.25" customHeight="1">
      <c r="A428" s="5">
        <v>43978.0</v>
      </c>
      <c r="B428" s="6" t="s">
        <v>15</v>
      </c>
      <c r="C428" s="6">
        <v>370012.5</v>
      </c>
      <c r="D428" s="6">
        <v>3.90348615E7</v>
      </c>
      <c r="E428" s="7"/>
      <c r="F428" s="7"/>
      <c r="G428" s="7"/>
    </row>
    <row r="429" ht="14.25" customHeight="1">
      <c r="A429" s="8">
        <v>43973.0</v>
      </c>
      <c r="B429" s="9" t="s">
        <v>15</v>
      </c>
      <c r="C429" s="9">
        <v>393018.0</v>
      </c>
      <c r="D429" s="9">
        <v>3.94983735E7</v>
      </c>
      <c r="E429" s="7"/>
      <c r="F429" s="7"/>
      <c r="G429" s="7"/>
    </row>
    <row r="430" ht="14.25" customHeight="1">
      <c r="A430" s="5">
        <v>43983.0</v>
      </c>
      <c r="B430" s="6" t="s">
        <v>15</v>
      </c>
      <c r="C430" s="6">
        <v>349699.5</v>
      </c>
      <c r="D430" s="6">
        <v>3.725784018135E7</v>
      </c>
      <c r="E430" s="7"/>
      <c r="F430" s="7"/>
      <c r="G430" s="7"/>
    </row>
    <row r="431" ht="14.25" customHeight="1">
      <c r="A431" s="8">
        <v>43962.0</v>
      </c>
      <c r="B431" s="9" t="s">
        <v>15</v>
      </c>
      <c r="C431" s="9">
        <v>318565.5</v>
      </c>
      <c r="D431" s="9">
        <v>3.3781581E7</v>
      </c>
      <c r="E431" s="7"/>
      <c r="F431" s="7"/>
      <c r="G431" s="7"/>
    </row>
    <row r="432" ht="14.25" customHeight="1">
      <c r="A432" s="5">
        <v>43980.0</v>
      </c>
      <c r="B432" s="6" t="s">
        <v>14</v>
      </c>
      <c r="C432" s="6">
        <v>422965.5</v>
      </c>
      <c r="D432" s="6">
        <v>4.1767140105000004E7</v>
      </c>
      <c r="E432" s="7"/>
      <c r="F432" s="7"/>
      <c r="G432" s="7"/>
    </row>
    <row r="433" ht="14.25" customHeight="1">
      <c r="A433" s="8">
        <v>43969.0</v>
      </c>
      <c r="B433" s="9" t="s">
        <v>15</v>
      </c>
      <c r="C433" s="9">
        <v>355081.5</v>
      </c>
      <c r="D433" s="9">
        <v>3.6876888E7</v>
      </c>
      <c r="E433" s="7"/>
      <c r="F433" s="7"/>
      <c r="G433" s="7"/>
    </row>
    <row r="434" ht="14.25" customHeight="1">
      <c r="A434" s="5">
        <v>43965.0</v>
      </c>
      <c r="B434" s="6" t="s">
        <v>15</v>
      </c>
      <c r="C434" s="6">
        <v>358387.5</v>
      </c>
      <c r="D434" s="6">
        <v>3.79631505E7</v>
      </c>
      <c r="E434" s="7"/>
      <c r="F434" s="7"/>
      <c r="G434" s="7"/>
    </row>
    <row r="435" ht="14.25" customHeight="1">
      <c r="A435" s="8">
        <v>43966.0</v>
      </c>
      <c r="B435" s="9" t="s">
        <v>15</v>
      </c>
      <c r="C435" s="9">
        <v>403261.5</v>
      </c>
      <c r="D435" s="9">
        <v>4.2271377E7</v>
      </c>
      <c r="E435" s="7"/>
      <c r="F435" s="7"/>
      <c r="G435" s="7"/>
    </row>
    <row r="436" ht="14.25" customHeight="1">
      <c r="A436" s="5">
        <v>43978.0</v>
      </c>
      <c r="B436" s="6" t="s">
        <v>16</v>
      </c>
      <c r="C436" s="6">
        <v>69010.5</v>
      </c>
      <c r="D436" s="6">
        <v>5985894.0</v>
      </c>
      <c r="E436" s="7"/>
      <c r="F436" s="7"/>
      <c r="G436" s="7"/>
    </row>
    <row r="437" ht="14.25" customHeight="1">
      <c r="A437" s="8">
        <v>43973.0</v>
      </c>
      <c r="B437" s="9" t="s">
        <v>16</v>
      </c>
      <c r="C437" s="9">
        <v>75820.5</v>
      </c>
      <c r="D437" s="9">
        <v>5943489.0</v>
      </c>
      <c r="E437" s="7"/>
      <c r="F437" s="7"/>
      <c r="G437" s="7"/>
    </row>
    <row r="438" ht="14.25" customHeight="1">
      <c r="A438" s="5">
        <v>43983.0</v>
      </c>
      <c r="B438" s="6" t="s">
        <v>16</v>
      </c>
      <c r="C438" s="6">
        <v>64740.0</v>
      </c>
      <c r="D438" s="6">
        <v>5800290.0</v>
      </c>
      <c r="E438" s="7"/>
      <c r="F438" s="7"/>
      <c r="G438" s="7"/>
    </row>
    <row r="439" ht="14.25" customHeight="1">
      <c r="A439" s="8">
        <v>43962.0</v>
      </c>
      <c r="B439" s="9" t="s">
        <v>16</v>
      </c>
      <c r="C439" s="9">
        <v>59574.0</v>
      </c>
      <c r="D439" s="9">
        <v>5178169.5</v>
      </c>
      <c r="E439" s="7"/>
      <c r="F439" s="7"/>
      <c r="G439" s="7"/>
    </row>
    <row r="440" ht="14.25" customHeight="1">
      <c r="A440" s="5">
        <v>43980.0</v>
      </c>
      <c r="B440" s="6" t="s">
        <v>15</v>
      </c>
      <c r="C440" s="6">
        <v>524481.0</v>
      </c>
      <c r="D440" s="6">
        <v>5.4172029E7</v>
      </c>
      <c r="E440" s="7"/>
      <c r="F440" s="7"/>
      <c r="G440" s="7"/>
    </row>
    <row r="441" ht="14.25" customHeight="1">
      <c r="A441" s="8">
        <v>43969.0</v>
      </c>
      <c r="B441" s="9" t="s">
        <v>16</v>
      </c>
      <c r="C441" s="9">
        <v>70278.0</v>
      </c>
      <c r="D441" s="9">
        <v>5798476.5</v>
      </c>
      <c r="E441" s="7"/>
      <c r="F441" s="7"/>
      <c r="G441" s="7"/>
    </row>
    <row r="442" ht="14.25" customHeight="1">
      <c r="A442" s="5">
        <v>43965.0</v>
      </c>
      <c r="B442" s="6" t="s">
        <v>16</v>
      </c>
      <c r="C442" s="6">
        <v>63645.0</v>
      </c>
      <c r="D442" s="6">
        <v>5366602.5</v>
      </c>
      <c r="E442" s="7"/>
      <c r="F442" s="7"/>
      <c r="G442" s="7"/>
    </row>
    <row r="443" ht="14.25" customHeight="1">
      <c r="A443" s="8">
        <v>43966.0</v>
      </c>
      <c r="B443" s="9" t="s">
        <v>16</v>
      </c>
      <c r="C443" s="9">
        <v>75642.0</v>
      </c>
      <c r="D443" s="9">
        <v>6293952.0</v>
      </c>
      <c r="E443" s="7"/>
      <c r="F443" s="7"/>
      <c r="G443" s="7"/>
    </row>
    <row r="444" ht="14.25" customHeight="1">
      <c r="A444" s="5">
        <v>43978.0</v>
      </c>
      <c r="B444" s="6" t="s">
        <v>17</v>
      </c>
      <c r="C444" s="6">
        <v>40420.5</v>
      </c>
      <c r="D444" s="6">
        <v>3780852.0</v>
      </c>
      <c r="E444" s="7"/>
      <c r="F444" s="7"/>
      <c r="G444" s="7"/>
    </row>
    <row r="445" ht="14.25" customHeight="1">
      <c r="A445" s="8">
        <v>43973.0</v>
      </c>
      <c r="B445" s="9" t="s">
        <v>17</v>
      </c>
      <c r="C445" s="9">
        <v>53838.0</v>
      </c>
      <c r="D445" s="9">
        <v>4840833.0</v>
      </c>
      <c r="E445" s="7"/>
      <c r="F445" s="7"/>
      <c r="G445" s="7"/>
    </row>
    <row r="446" ht="14.25" customHeight="1">
      <c r="A446" s="5">
        <v>43983.0</v>
      </c>
      <c r="B446" s="6" t="s">
        <v>17</v>
      </c>
      <c r="C446" s="6">
        <v>40528.5</v>
      </c>
      <c r="D446" s="6">
        <v>3865251.0</v>
      </c>
      <c r="E446" s="7"/>
      <c r="F446" s="7"/>
      <c r="G446" s="7"/>
    </row>
    <row r="447" ht="14.25" customHeight="1">
      <c r="A447" s="8">
        <v>43962.0</v>
      </c>
      <c r="B447" s="9" t="s">
        <v>17</v>
      </c>
      <c r="C447" s="9">
        <v>32733.0</v>
      </c>
      <c r="D447" s="9">
        <v>3079630.5</v>
      </c>
      <c r="E447" s="7"/>
      <c r="F447" s="7"/>
      <c r="G447" s="7"/>
    </row>
    <row r="448" ht="14.25" customHeight="1">
      <c r="A448" s="5">
        <v>43980.0</v>
      </c>
      <c r="B448" s="6" t="s">
        <v>16</v>
      </c>
      <c r="C448" s="6">
        <v>84433.5</v>
      </c>
      <c r="D448" s="6">
        <v>7228395.0</v>
      </c>
      <c r="E448" s="7"/>
      <c r="F448" s="7"/>
      <c r="G448" s="7"/>
    </row>
    <row r="449" ht="14.25" customHeight="1">
      <c r="A449" s="8">
        <v>43969.0</v>
      </c>
      <c r="B449" s="9" t="s">
        <v>17</v>
      </c>
      <c r="C449" s="9">
        <v>36655.5</v>
      </c>
      <c r="D449" s="9">
        <v>3360135.0</v>
      </c>
      <c r="E449" s="7"/>
      <c r="F449" s="7"/>
      <c r="G449" s="7"/>
    </row>
    <row r="450" ht="14.25" customHeight="1">
      <c r="A450" s="5">
        <v>43965.0</v>
      </c>
      <c r="B450" s="6" t="s">
        <v>17</v>
      </c>
      <c r="C450" s="6">
        <v>33886.5</v>
      </c>
      <c r="D450" s="6">
        <v>3166479.0</v>
      </c>
      <c r="E450" s="7"/>
      <c r="F450" s="7"/>
      <c r="G450" s="7"/>
    </row>
    <row r="451" ht="14.25" customHeight="1">
      <c r="A451" s="8">
        <v>43966.0</v>
      </c>
      <c r="B451" s="9" t="s">
        <v>17</v>
      </c>
      <c r="C451" s="9">
        <v>41697.0</v>
      </c>
      <c r="D451" s="9">
        <v>3772258.5</v>
      </c>
      <c r="E451" s="7"/>
      <c r="F451" s="7"/>
      <c r="G451" s="7"/>
    </row>
    <row r="452" ht="14.25" customHeight="1">
      <c r="A452" s="5">
        <v>43980.0</v>
      </c>
      <c r="B452" s="6" t="s">
        <v>17</v>
      </c>
      <c r="C452" s="6">
        <v>44569.5</v>
      </c>
      <c r="D452" s="6">
        <v>4108596.0</v>
      </c>
      <c r="E452" s="7"/>
      <c r="F452" s="7"/>
      <c r="G452" s="7"/>
    </row>
    <row r="453" ht="14.25" customHeight="1">
      <c r="A453" s="8">
        <v>43978.0</v>
      </c>
      <c r="B453" s="9" t="s">
        <v>18</v>
      </c>
      <c r="C453" s="9">
        <v>18069.0</v>
      </c>
      <c r="D453" s="9">
        <v>1603084.5</v>
      </c>
      <c r="E453" s="7"/>
      <c r="F453" s="7"/>
      <c r="G453" s="7"/>
    </row>
    <row r="454" ht="14.25" customHeight="1">
      <c r="A454" s="5">
        <v>43973.0</v>
      </c>
      <c r="B454" s="6" t="s">
        <v>18</v>
      </c>
      <c r="C454" s="6">
        <v>21483.0</v>
      </c>
      <c r="D454" s="6">
        <v>1774329.0</v>
      </c>
      <c r="E454" s="7"/>
      <c r="F454" s="7"/>
      <c r="G454" s="7"/>
    </row>
    <row r="455" ht="14.25" customHeight="1">
      <c r="A455" s="8">
        <v>43983.0</v>
      </c>
      <c r="B455" s="9" t="s">
        <v>18</v>
      </c>
      <c r="C455" s="9">
        <v>16687.5</v>
      </c>
      <c r="D455" s="9">
        <v>1526608.5</v>
      </c>
      <c r="E455" s="7"/>
      <c r="F455" s="7"/>
      <c r="G455" s="7"/>
    </row>
    <row r="456" ht="14.25" customHeight="1">
      <c r="A456" s="5">
        <v>43962.0</v>
      </c>
      <c r="B456" s="6" t="s">
        <v>18</v>
      </c>
      <c r="C456" s="6">
        <v>12238.5</v>
      </c>
      <c r="D456" s="6">
        <v>1096002.0</v>
      </c>
      <c r="E456" s="7"/>
      <c r="F456" s="7"/>
      <c r="G456" s="7"/>
    </row>
    <row r="457" ht="14.25" customHeight="1">
      <c r="A457" s="8">
        <v>43969.0</v>
      </c>
      <c r="B457" s="9" t="s">
        <v>18</v>
      </c>
      <c r="C457" s="9">
        <v>14290.5</v>
      </c>
      <c r="D457" s="9">
        <v>1246162.5</v>
      </c>
      <c r="E457" s="7"/>
      <c r="F457" s="7"/>
      <c r="G457" s="7"/>
    </row>
    <row r="458" ht="14.25" customHeight="1">
      <c r="A458" s="5">
        <v>43965.0</v>
      </c>
      <c r="B458" s="6" t="s">
        <v>18</v>
      </c>
      <c r="C458" s="6">
        <v>14385.0</v>
      </c>
      <c r="D458" s="6">
        <v>1223491.5</v>
      </c>
      <c r="E458" s="7"/>
      <c r="F458" s="7"/>
      <c r="G458" s="7"/>
    </row>
    <row r="459" ht="14.25" customHeight="1">
      <c r="A459" s="8">
        <v>43966.0</v>
      </c>
      <c r="B459" s="9" t="s">
        <v>18</v>
      </c>
      <c r="C459" s="9">
        <v>16498.5</v>
      </c>
      <c r="D459" s="9">
        <v>1370482.5</v>
      </c>
      <c r="E459" s="7"/>
      <c r="F459" s="7"/>
      <c r="G459" s="7"/>
    </row>
    <row r="460" ht="14.25" customHeight="1">
      <c r="A460" s="5">
        <v>43978.0</v>
      </c>
      <c r="B460" s="6" t="s">
        <v>19</v>
      </c>
      <c r="C460" s="6">
        <v>13203.0</v>
      </c>
      <c r="D460" s="6">
        <v>1211457.0</v>
      </c>
      <c r="E460" s="7"/>
      <c r="F460" s="7"/>
      <c r="G460" s="7"/>
    </row>
    <row r="461" ht="14.25" customHeight="1">
      <c r="A461" s="8">
        <v>43973.0</v>
      </c>
      <c r="B461" s="9" t="s">
        <v>19</v>
      </c>
      <c r="C461" s="9">
        <v>15802.5</v>
      </c>
      <c r="D461" s="9">
        <v>1411909.5</v>
      </c>
      <c r="E461" s="7"/>
      <c r="F461" s="7"/>
      <c r="G461" s="7"/>
    </row>
    <row r="462" ht="14.25" customHeight="1">
      <c r="A462" s="5">
        <v>43983.0</v>
      </c>
      <c r="B462" s="6" t="s">
        <v>19</v>
      </c>
      <c r="C462" s="6">
        <v>16476.0</v>
      </c>
      <c r="D462" s="6">
        <v>1565632.5</v>
      </c>
      <c r="E462" s="7"/>
      <c r="F462" s="7"/>
      <c r="G462" s="7"/>
    </row>
    <row r="463" ht="14.25" customHeight="1">
      <c r="A463" s="8">
        <v>43962.0</v>
      </c>
      <c r="B463" s="9" t="s">
        <v>19</v>
      </c>
      <c r="C463" s="9">
        <v>12654.0</v>
      </c>
      <c r="D463" s="9">
        <v>1081158.0</v>
      </c>
      <c r="E463" s="7"/>
      <c r="F463" s="7"/>
      <c r="G463" s="7"/>
    </row>
    <row r="464" ht="14.25" customHeight="1">
      <c r="A464" s="5">
        <v>43980.0</v>
      </c>
      <c r="B464" s="6" t="s">
        <v>18</v>
      </c>
      <c r="C464" s="6">
        <v>19647.0</v>
      </c>
      <c r="D464" s="6">
        <v>1764669.0</v>
      </c>
      <c r="E464" s="7"/>
      <c r="F464" s="7"/>
      <c r="G464" s="7"/>
    </row>
    <row r="465" ht="14.25" customHeight="1">
      <c r="A465" s="8">
        <v>43969.0</v>
      </c>
      <c r="B465" s="9" t="s">
        <v>19</v>
      </c>
      <c r="C465" s="9">
        <v>12450.0</v>
      </c>
      <c r="D465" s="9">
        <v>1115146.5</v>
      </c>
      <c r="E465" s="7"/>
      <c r="F465" s="7"/>
      <c r="G465" s="7"/>
    </row>
    <row r="466" ht="14.25" customHeight="1">
      <c r="A466" s="5">
        <v>43965.0</v>
      </c>
      <c r="B466" s="6" t="s">
        <v>19</v>
      </c>
      <c r="C466" s="6">
        <v>11161.5</v>
      </c>
      <c r="D466" s="6">
        <v>963502.5</v>
      </c>
      <c r="E466" s="7"/>
      <c r="F466" s="7"/>
      <c r="G466" s="7"/>
    </row>
    <row r="467" ht="14.25" customHeight="1">
      <c r="A467" s="8">
        <v>43966.0</v>
      </c>
      <c r="B467" s="9" t="s">
        <v>19</v>
      </c>
      <c r="C467" s="9">
        <v>12229.5</v>
      </c>
      <c r="D467" s="9">
        <v>1122730.5</v>
      </c>
      <c r="E467" s="7"/>
      <c r="F467" s="7"/>
      <c r="G467" s="7"/>
    </row>
    <row r="468" ht="14.25" customHeight="1">
      <c r="A468" s="5">
        <v>43978.0</v>
      </c>
      <c r="B468" s="6" t="s">
        <v>20</v>
      </c>
      <c r="C468" s="6">
        <v>28050.0</v>
      </c>
      <c r="D468" s="6">
        <v>2458555.5</v>
      </c>
      <c r="E468" s="7"/>
      <c r="F468" s="7"/>
      <c r="G468" s="7"/>
    </row>
    <row r="469" ht="14.25" customHeight="1">
      <c r="A469" s="8">
        <v>43973.0</v>
      </c>
      <c r="B469" s="9" t="s">
        <v>20</v>
      </c>
      <c r="C469" s="9">
        <v>30781.5</v>
      </c>
      <c r="D469" s="9">
        <v>2540715.0</v>
      </c>
      <c r="E469" s="7"/>
      <c r="F469" s="7"/>
      <c r="G469" s="7"/>
    </row>
    <row r="470" ht="14.25" customHeight="1">
      <c r="A470" s="5">
        <v>43983.0</v>
      </c>
      <c r="B470" s="6" t="s">
        <v>20</v>
      </c>
      <c r="C470" s="6">
        <v>27960.0</v>
      </c>
      <c r="D470" s="6">
        <v>2538967.5</v>
      </c>
      <c r="E470" s="7"/>
      <c r="F470" s="7"/>
      <c r="G470" s="7"/>
    </row>
    <row r="471" ht="14.25" customHeight="1">
      <c r="A471" s="8">
        <v>43962.0</v>
      </c>
      <c r="B471" s="9" t="s">
        <v>20</v>
      </c>
      <c r="C471" s="9">
        <v>23629.5</v>
      </c>
      <c r="D471" s="9">
        <v>2164365.0</v>
      </c>
      <c r="E471" s="7"/>
      <c r="F471" s="7"/>
      <c r="G471" s="7"/>
    </row>
    <row r="472" ht="14.25" customHeight="1">
      <c r="A472" s="5">
        <v>43980.0</v>
      </c>
      <c r="B472" s="6" t="s">
        <v>19</v>
      </c>
      <c r="C472" s="6">
        <v>17052.0</v>
      </c>
      <c r="D472" s="6">
        <v>1549020.0</v>
      </c>
      <c r="E472" s="7"/>
      <c r="F472" s="7"/>
      <c r="G472" s="7"/>
    </row>
    <row r="473" ht="14.25" customHeight="1">
      <c r="A473" s="8">
        <v>43969.0</v>
      </c>
      <c r="B473" s="9" t="s">
        <v>20</v>
      </c>
      <c r="C473" s="9">
        <v>27181.5</v>
      </c>
      <c r="D473" s="9">
        <v>2324490.0</v>
      </c>
      <c r="E473" s="7"/>
      <c r="F473" s="7"/>
      <c r="G473" s="7"/>
    </row>
    <row r="474" ht="14.25" customHeight="1">
      <c r="A474" s="5">
        <v>43965.0</v>
      </c>
      <c r="B474" s="6" t="s">
        <v>20</v>
      </c>
      <c r="C474" s="6">
        <v>25656.0</v>
      </c>
      <c r="D474" s="6">
        <v>2225341.5</v>
      </c>
      <c r="E474" s="7"/>
      <c r="F474" s="7"/>
      <c r="G474" s="7"/>
    </row>
    <row r="475" ht="14.25" customHeight="1">
      <c r="A475" s="8">
        <v>43966.0</v>
      </c>
      <c r="B475" s="9" t="s">
        <v>20</v>
      </c>
      <c r="C475" s="9">
        <v>29283.0</v>
      </c>
      <c r="D475" s="9">
        <v>2477487.0</v>
      </c>
      <c r="E475" s="7"/>
      <c r="F475" s="7"/>
      <c r="G475" s="7"/>
    </row>
    <row r="476" ht="14.25" customHeight="1">
      <c r="A476" s="5">
        <v>43980.0</v>
      </c>
      <c r="B476" s="6" t="s">
        <v>20</v>
      </c>
      <c r="C476" s="6">
        <v>32782.5</v>
      </c>
      <c r="D476" s="6">
        <v>2854741.5</v>
      </c>
      <c r="E476" s="7"/>
      <c r="F476" s="7"/>
      <c r="G476" s="7"/>
    </row>
    <row r="477" ht="14.25" customHeight="1">
      <c r="A477" s="8">
        <v>43978.0</v>
      </c>
      <c r="B477" s="9" t="s">
        <v>21</v>
      </c>
      <c r="C477" s="9">
        <v>215592.0</v>
      </c>
      <c r="D477" s="9">
        <v>2.23423005E7</v>
      </c>
      <c r="E477" s="7"/>
      <c r="F477" s="7"/>
      <c r="G477" s="7"/>
    </row>
    <row r="478" ht="14.25" customHeight="1">
      <c r="A478" s="5">
        <v>43973.0</v>
      </c>
      <c r="B478" s="6" t="s">
        <v>21</v>
      </c>
      <c r="C478" s="6">
        <v>228334.5</v>
      </c>
      <c r="D478" s="6">
        <v>2.23807725E7</v>
      </c>
      <c r="E478" s="7"/>
      <c r="F478" s="7"/>
      <c r="G478" s="7"/>
    </row>
    <row r="479" ht="14.25" customHeight="1">
      <c r="A479" s="8">
        <v>43983.0</v>
      </c>
      <c r="B479" s="9" t="s">
        <v>21</v>
      </c>
      <c r="C479" s="9">
        <v>188776.5</v>
      </c>
      <c r="D479" s="9">
        <v>1.94653725E7</v>
      </c>
      <c r="E479" s="7"/>
      <c r="F479" s="7"/>
      <c r="G479" s="7"/>
    </row>
    <row r="480" ht="14.25" customHeight="1">
      <c r="A480" s="5">
        <v>43962.0</v>
      </c>
      <c r="B480" s="6" t="s">
        <v>21</v>
      </c>
      <c r="C480" s="6">
        <v>175293.0</v>
      </c>
      <c r="D480" s="6">
        <v>1.7919144E7</v>
      </c>
      <c r="E480" s="7"/>
      <c r="F480" s="7"/>
      <c r="G480" s="7"/>
    </row>
    <row r="481" ht="14.25" customHeight="1">
      <c r="A481" s="8">
        <v>43969.0</v>
      </c>
      <c r="B481" s="9" t="s">
        <v>21</v>
      </c>
      <c r="C481" s="9">
        <v>201999.0</v>
      </c>
      <c r="D481" s="9">
        <v>2.04224355E7</v>
      </c>
      <c r="E481" s="7"/>
      <c r="F481" s="7"/>
      <c r="G481" s="7"/>
    </row>
    <row r="482" ht="14.25" customHeight="1">
      <c r="A482" s="5">
        <v>43965.0</v>
      </c>
      <c r="B482" s="6" t="s">
        <v>21</v>
      </c>
      <c r="C482" s="6">
        <v>197946.0</v>
      </c>
      <c r="D482" s="6">
        <v>1.99424355E7</v>
      </c>
      <c r="E482" s="7"/>
      <c r="F482" s="7"/>
      <c r="G482" s="7"/>
    </row>
    <row r="483" ht="14.25" customHeight="1">
      <c r="A483" s="8">
        <v>43966.0</v>
      </c>
      <c r="B483" s="9" t="s">
        <v>21</v>
      </c>
      <c r="C483" s="9">
        <v>230896.5</v>
      </c>
      <c r="D483" s="9">
        <v>2.3085222E7</v>
      </c>
      <c r="E483" s="7"/>
      <c r="F483" s="7"/>
      <c r="G483" s="7"/>
    </row>
    <row r="484" ht="14.25" customHeight="1">
      <c r="A484" s="5">
        <v>43978.0</v>
      </c>
      <c r="B484" s="6" t="s">
        <v>22</v>
      </c>
      <c r="C484" s="6">
        <v>203532.0</v>
      </c>
      <c r="D484" s="6">
        <v>2.09533245E7</v>
      </c>
      <c r="E484" s="7"/>
      <c r="F484" s="7"/>
      <c r="G484" s="7"/>
    </row>
    <row r="485" ht="14.25" customHeight="1">
      <c r="A485" s="8">
        <v>43973.0</v>
      </c>
      <c r="B485" s="9" t="s">
        <v>22</v>
      </c>
      <c r="C485" s="9">
        <v>214428.0</v>
      </c>
      <c r="D485" s="9">
        <v>2.08125855E7</v>
      </c>
      <c r="E485" s="7"/>
      <c r="F485" s="7"/>
      <c r="G485" s="7"/>
    </row>
    <row r="486" ht="14.25" customHeight="1">
      <c r="A486" s="5">
        <v>43983.0</v>
      </c>
      <c r="B486" s="6" t="s">
        <v>22</v>
      </c>
      <c r="C486" s="6">
        <v>183228.0</v>
      </c>
      <c r="D486" s="6">
        <v>1.89141945E7</v>
      </c>
      <c r="E486" s="7"/>
      <c r="F486" s="7"/>
      <c r="G486" s="7"/>
    </row>
    <row r="487" ht="14.25" customHeight="1">
      <c r="A487" s="8">
        <v>43962.0</v>
      </c>
      <c r="B487" s="9" t="s">
        <v>22</v>
      </c>
      <c r="C487" s="9">
        <v>166948.5</v>
      </c>
      <c r="D487" s="9">
        <v>1.6971231E7</v>
      </c>
      <c r="E487" s="7"/>
      <c r="F487" s="7"/>
      <c r="G487" s="7"/>
    </row>
    <row r="488" ht="14.25" customHeight="1">
      <c r="A488" s="5">
        <v>43980.0</v>
      </c>
      <c r="B488" s="6" t="s">
        <v>21</v>
      </c>
      <c r="C488" s="6">
        <v>232102.5</v>
      </c>
      <c r="D488" s="6">
        <v>2.31204435E7</v>
      </c>
      <c r="E488" s="7"/>
      <c r="F488" s="7"/>
      <c r="G488" s="7"/>
    </row>
    <row r="489" ht="14.25" customHeight="1">
      <c r="A489" s="8">
        <v>43969.0</v>
      </c>
      <c r="B489" s="9" t="s">
        <v>22</v>
      </c>
      <c r="C489" s="9">
        <v>196560.0</v>
      </c>
      <c r="D489" s="9">
        <v>1.9855122E7</v>
      </c>
      <c r="E489" s="7"/>
      <c r="F489" s="7"/>
      <c r="G489" s="7"/>
    </row>
    <row r="490" ht="14.25" customHeight="1">
      <c r="A490" s="5">
        <v>43965.0</v>
      </c>
      <c r="B490" s="6" t="s">
        <v>22</v>
      </c>
      <c r="C490" s="6">
        <v>186496.5</v>
      </c>
      <c r="D490" s="6">
        <v>1.8640998E7</v>
      </c>
      <c r="E490" s="7"/>
      <c r="F490" s="7"/>
      <c r="G490" s="7"/>
    </row>
    <row r="491" ht="14.25" customHeight="1">
      <c r="A491" s="8">
        <v>43966.0</v>
      </c>
      <c r="B491" s="9" t="s">
        <v>22</v>
      </c>
      <c r="C491" s="9">
        <v>219772.5</v>
      </c>
      <c r="D491" s="9">
        <v>2.18952945E7</v>
      </c>
      <c r="E491" s="7"/>
      <c r="F491" s="7"/>
      <c r="G491" s="7"/>
    </row>
    <row r="492" ht="14.25" customHeight="1">
      <c r="A492" s="5">
        <v>43980.0</v>
      </c>
      <c r="B492" s="6" t="s">
        <v>22</v>
      </c>
      <c r="C492" s="6">
        <v>226476.0</v>
      </c>
      <c r="D492" s="6">
        <v>2.24161515E7</v>
      </c>
      <c r="E492" s="7"/>
      <c r="F492" s="7"/>
      <c r="G492" s="7"/>
    </row>
    <row r="493" ht="14.25" customHeight="1">
      <c r="A493" s="8">
        <v>43978.0</v>
      </c>
      <c r="B493" s="9" t="s">
        <v>24</v>
      </c>
      <c r="C493" s="9">
        <v>8362.5</v>
      </c>
      <c r="D493" s="9">
        <v>687684.0</v>
      </c>
      <c r="E493" s="7"/>
      <c r="F493" s="7"/>
      <c r="G493" s="7"/>
    </row>
    <row r="494" ht="14.25" customHeight="1">
      <c r="A494" s="5">
        <v>43973.0</v>
      </c>
      <c r="B494" s="6" t="s">
        <v>23</v>
      </c>
      <c r="C494" s="6">
        <v>17008.5</v>
      </c>
      <c r="D494" s="6">
        <v>1398771.0</v>
      </c>
      <c r="E494" s="7"/>
      <c r="F494" s="7"/>
      <c r="G494" s="7"/>
    </row>
    <row r="495" ht="14.25" customHeight="1">
      <c r="A495" s="8">
        <v>43983.0</v>
      </c>
      <c r="B495" s="9" t="s">
        <v>25</v>
      </c>
      <c r="C495" s="9">
        <v>5166.0</v>
      </c>
      <c r="D495" s="9">
        <v>389013.0</v>
      </c>
      <c r="E495" s="7"/>
      <c r="F495" s="7"/>
      <c r="G495" s="7"/>
    </row>
    <row r="496" ht="14.25" customHeight="1">
      <c r="A496" s="5">
        <v>43962.0</v>
      </c>
      <c r="B496" s="6" t="s">
        <v>23</v>
      </c>
      <c r="C496" s="6">
        <v>10941.0</v>
      </c>
      <c r="D496" s="6">
        <v>880356.0</v>
      </c>
      <c r="E496" s="7"/>
      <c r="F496" s="7"/>
      <c r="G496" s="7"/>
    </row>
    <row r="497" ht="14.25" customHeight="1">
      <c r="A497" s="8">
        <v>43969.0</v>
      </c>
      <c r="B497" s="9" t="s">
        <v>23</v>
      </c>
      <c r="C497" s="9">
        <v>14497.5</v>
      </c>
      <c r="D497" s="9">
        <v>1230711.0</v>
      </c>
      <c r="E497" s="7"/>
      <c r="F497" s="7"/>
      <c r="G497" s="7"/>
    </row>
    <row r="498" ht="14.25" customHeight="1">
      <c r="A498" s="5">
        <v>43965.0</v>
      </c>
      <c r="B498" s="6" t="s">
        <v>23</v>
      </c>
      <c r="C498" s="6">
        <v>13810.5</v>
      </c>
      <c r="D498" s="6">
        <v>1131676.5</v>
      </c>
      <c r="E498" s="7"/>
      <c r="F498" s="7"/>
      <c r="G498" s="7"/>
    </row>
    <row r="499" ht="14.25" customHeight="1">
      <c r="A499" s="8">
        <v>43966.0</v>
      </c>
      <c r="B499" s="9" t="s">
        <v>23</v>
      </c>
      <c r="C499" s="9">
        <v>13752.0</v>
      </c>
      <c r="D499" s="9">
        <v>1091040.0</v>
      </c>
      <c r="E499" s="7"/>
      <c r="F499" s="7"/>
      <c r="G499" s="7"/>
    </row>
    <row r="500" ht="14.25" customHeight="1">
      <c r="A500" s="5">
        <v>43978.0</v>
      </c>
      <c r="B500" s="6" t="s">
        <v>23</v>
      </c>
      <c r="C500" s="6">
        <v>15276.0</v>
      </c>
      <c r="D500" s="6">
        <v>1350199.5</v>
      </c>
      <c r="E500" s="7"/>
      <c r="F500" s="7"/>
      <c r="G500" s="7"/>
    </row>
    <row r="501" ht="14.25" customHeight="1">
      <c r="A501" s="8">
        <v>43983.0</v>
      </c>
      <c r="B501" s="9" t="s">
        <v>26</v>
      </c>
      <c r="C501" s="9">
        <v>4408.5</v>
      </c>
      <c r="D501" s="9">
        <v>410892.0</v>
      </c>
      <c r="E501" s="7"/>
      <c r="F501" s="7"/>
      <c r="G501" s="7"/>
    </row>
    <row r="502" ht="14.25" customHeight="1">
      <c r="A502" s="5">
        <v>43980.0</v>
      </c>
      <c r="B502" s="6" t="s">
        <v>24</v>
      </c>
      <c r="C502" s="6">
        <v>9927.0</v>
      </c>
      <c r="D502" s="6">
        <v>850840.5</v>
      </c>
      <c r="E502" s="7"/>
      <c r="F502" s="7"/>
      <c r="G502" s="7"/>
    </row>
    <row r="503" ht="14.25" customHeight="1">
      <c r="A503" s="8">
        <v>43983.0</v>
      </c>
      <c r="B503" s="9" t="s">
        <v>24</v>
      </c>
      <c r="C503" s="9">
        <v>9474.0</v>
      </c>
      <c r="D503" s="9">
        <v>802447.5</v>
      </c>
      <c r="E503" s="7"/>
      <c r="F503" s="7"/>
      <c r="G503" s="7"/>
    </row>
    <row r="504" ht="14.25" customHeight="1">
      <c r="A504" s="5">
        <v>43980.0</v>
      </c>
      <c r="B504" s="6" t="s">
        <v>23</v>
      </c>
      <c r="C504" s="6">
        <v>16878.0</v>
      </c>
      <c r="D504" s="6">
        <v>1438255.5</v>
      </c>
      <c r="E504" s="7"/>
      <c r="F504" s="7"/>
      <c r="G504" s="7"/>
    </row>
    <row r="505" ht="14.25" customHeight="1">
      <c r="A505" s="10">
        <v>43983.0</v>
      </c>
      <c r="B505" s="11" t="s">
        <v>23</v>
      </c>
      <c r="C505" s="11">
        <v>14238.0</v>
      </c>
      <c r="D505" s="11">
        <v>1293219.0</v>
      </c>
      <c r="E505" s="7"/>
      <c r="F505" s="7"/>
      <c r="G505" s="7"/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2" t="str">
        <f t="array" ref="A1:G1000">{'Лист1'!A:D,IFERROR(VLOOKUP('Лист1'!A:A&amp;"|"&amp;'Лист1'!B:B,{'Лист2'!A:A&amp;"|"&amp;'Лист2'!B:B, 'Лист2'!C:E}, {2,3,4},  FALSE),"")}</f>
        <v>Дата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8</v>
      </c>
      <c r="I1" s="14" t="s">
        <v>27</v>
      </c>
      <c r="J1" s="14" t="s">
        <v>28</v>
      </c>
      <c r="K1" s="15" t="s">
        <v>29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43982.0</v>
      </c>
      <c r="B2" s="17" t="s">
        <v>9</v>
      </c>
      <c r="C2" s="17">
        <v>7944.0</v>
      </c>
      <c r="D2" s="17">
        <v>623971.5</v>
      </c>
      <c r="E2" s="17">
        <v>15.0</v>
      </c>
      <c r="F2" s="17">
        <v>441.0</v>
      </c>
      <c r="G2" s="17">
        <v>368.0</v>
      </c>
      <c r="H2" s="17">
        <f t="array" ref="H2:H1000">IF(A2:A1000="",,WEEKNUM(A2:A1000,2))</f>
        <v>22</v>
      </c>
      <c r="I2" s="17">
        <f t="array" ref="I2:I1000">IFERROR(D2:D1000 / E2:E1000,"")</f>
        <v>41598.1</v>
      </c>
      <c r="J2" s="17">
        <f t="shared" ref="J2:J505" si="1">COUNTIFS($A$2:$A1000, A2, $D$2:$D1000, "&gt;"&amp;D2)+1</f>
        <v>16</v>
      </c>
    </row>
    <row r="3">
      <c r="A3" s="16">
        <v>43981.0</v>
      </c>
      <c r="B3" s="17" t="s">
        <v>9</v>
      </c>
      <c r="C3" s="17">
        <v>10029.0</v>
      </c>
      <c r="D3" s="17">
        <v>787101.0</v>
      </c>
      <c r="E3" s="17">
        <v>15.0</v>
      </c>
      <c r="F3" s="17">
        <v>490.0</v>
      </c>
      <c r="G3" s="17">
        <v>409.0</v>
      </c>
      <c r="H3" s="17">
        <v>22.0</v>
      </c>
      <c r="I3" s="17">
        <v>52473.4</v>
      </c>
      <c r="J3" s="17">
        <f t="shared" si="1"/>
        <v>16</v>
      </c>
    </row>
    <row r="4">
      <c r="A4" s="16">
        <v>43979.0</v>
      </c>
      <c r="B4" s="17" t="s">
        <v>9</v>
      </c>
      <c r="C4" s="17">
        <v>8536.5</v>
      </c>
      <c r="D4" s="17">
        <v>643944.0</v>
      </c>
      <c r="E4" s="17">
        <v>15.0</v>
      </c>
      <c r="F4" s="17">
        <v>464.0</v>
      </c>
      <c r="G4" s="17">
        <v>390.0</v>
      </c>
      <c r="H4" s="17">
        <v>22.0</v>
      </c>
      <c r="I4" s="17">
        <v>42929.6</v>
      </c>
      <c r="J4" s="17">
        <f t="shared" si="1"/>
        <v>16</v>
      </c>
    </row>
    <row r="5">
      <c r="A5" s="16">
        <v>43967.0</v>
      </c>
      <c r="B5" s="17" t="s">
        <v>10</v>
      </c>
      <c r="C5" s="17">
        <v>38947.5</v>
      </c>
      <c r="D5" s="17">
        <v>3395892.0</v>
      </c>
      <c r="E5" s="17">
        <v>21.0</v>
      </c>
      <c r="F5" s="17">
        <v>2145.0</v>
      </c>
      <c r="G5" s="17">
        <v>1947.0</v>
      </c>
      <c r="H5" s="17">
        <v>20.0</v>
      </c>
      <c r="I5" s="17">
        <v>161709.14285714287</v>
      </c>
      <c r="J5" s="17">
        <f t="shared" si="1"/>
        <v>8</v>
      </c>
    </row>
    <row r="6">
      <c r="A6" s="16">
        <v>43970.0</v>
      </c>
      <c r="B6" s="17" t="s">
        <v>10</v>
      </c>
      <c r="C6" s="17">
        <v>31842.0</v>
      </c>
      <c r="D6" s="17">
        <v>2771116.5</v>
      </c>
      <c r="E6" s="17">
        <v>21.0</v>
      </c>
      <c r="F6" s="17">
        <v>1860.0</v>
      </c>
      <c r="G6" s="17">
        <v>1704.0</v>
      </c>
      <c r="H6" s="17">
        <v>21.0</v>
      </c>
      <c r="I6" s="17">
        <v>131957.92857142858</v>
      </c>
      <c r="J6" s="17">
        <f t="shared" si="1"/>
        <v>9</v>
      </c>
    </row>
    <row r="7">
      <c r="A7" s="16">
        <v>43968.0</v>
      </c>
      <c r="B7" s="17" t="s">
        <v>10</v>
      </c>
      <c r="C7" s="17">
        <v>32023.5</v>
      </c>
      <c r="D7" s="17">
        <v>2882458.5</v>
      </c>
      <c r="E7" s="17">
        <v>21.0</v>
      </c>
      <c r="F7" s="17">
        <v>1874.0</v>
      </c>
      <c r="G7" s="17">
        <v>1705.0</v>
      </c>
      <c r="H7" s="17">
        <v>20.0</v>
      </c>
      <c r="I7" s="17">
        <v>137259.92857142858</v>
      </c>
      <c r="J7" s="17">
        <f t="shared" si="1"/>
        <v>8</v>
      </c>
    </row>
    <row r="8">
      <c r="A8" s="16">
        <v>43960.0</v>
      </c>
      <c r="B8" s="17" t="s">
        <v>10</v>
      </c>
      <c r="C8" s="17">
        <v>31147.5</v>
      </c>
      <c r="D8" s="17">
        <v>2831019.0</v>
      </c>
      <c r="E8" s="17">
        <v>21.0</v>
      </c>
      <c r="F8" s="17">
        <v>1735.0</v>
      </c>
      <c r="G8" s="17">
        <v>1568.0</v>
      </c>
      <c r="H8" s="17">
        <v>19.0</v>
      </c>
      <c r="I8" s="17">
        <v>134810.42857142858</v>
      </c>
      <c r="J8" s="17">
        <f t="shared" si="1"/>
        <v>9</v>
      </c>
    </row>
    <row r="9">
      <c r="A9" s="16">
        <v>43955.0</v>
      </c>
      <c r="B9" s="17" t="s">
        <v>10</v>
      </c>
      <c r="C9" s="17">
        <v>25566.0</v>
      </c>
      <c r="D9" s="17">
        <v>2372310.0</v>
      </c>
      <c r="E9" s="17">
        <v>20.0</v>
      </c>
      <c r="F9" s="17">
        <v>1519.0</v>
      </c>
      <c r="G9" s="17">
        <v>1372.0</v>
      </c>
      <c r="H9" s="17">
        <v>19.0</v>
      </c>
      <c r="I9" s="17">
        <v>118615.5</v>
      </c>
      <c r="J9" s="17">
        <f t="shared" si="1"/>
        <v>9</v>
      </c>
    </row>
    <row r="10">
      <c r="A10" s="16">
        <v>43950.0</v>
      </c>
      <c r="B10" s="17" t="s">
        <v>10</v>
      </c>
      <c r="C10" s="17">
        <v>29319.0</v>
      </c>
      <c r="D10" s="17">
        <v>2623480.5</v>
      </c>
      <c r="E10" s="17">
        <v>18.0</v>
      </c>
      <c r="F10" s="17">
        <v>1684.0</v>
      </c>
      <c r="G10" s="17">
        <v>1528.0</v>
      </c>
      <c r="H10" s="17">
        <v>18.0</v>
      </c>
      <c r="I10" s="17">
        <v>145748.91666666666</v>
      </c>
      <c r="J10" s="17">
        <f t="shared" si="1"/>
        <v>8</v>
      </c>
    </row>
    <row r="11">
      <c r="A11" s="16">
        <v>43953.0</v>
      </c>
      <c r="B11" s="17" t="s">
        <v>10</v>
      </c>
      <c r="C11" s="17">
        <v>29031.0</v>
      </c>
      <c r="D11" s="17">
        <v>2711247.0</v>
      </c>
      <c r="E11" s="17">
        <v>18.0</v>
      </c>
      <c r="F11" s="17">
        <v>1708.0</v>
      </c>
      <c r="G11" s="17">
        <v>1534.0</v>
      </c>
      <c r="H11" s="17">
        <v>18.0</v>
      </c>
      <c r="I11" s="17">
        <v>150624.83333333334</v>
      </c>
      <c r="J11" s="17">
        <f t="shared" si="1"/>
        <v>7</v>
      </c>
    </row>
    <row r="12">
      <c r="A12" s="16">
        <v>43977.0</v>
      </c>
      <c r="B12" s="17" t="s">
        <v>10</v>
      </c>
      <c r="C12" s="17">
        <v>33423.0</v>
      </c>
      <c r="D12" s="17">
        <v>2970330.0</v>
      </c>
      <c r="E12" s="17">
        <v>20.0</v>
      </c>
      <c r="F12" s="17">
        <v>2044.0</v>
      </c>
      <c r="G12" s="17">
        <v>1863.0</v>
      </c>
      <c r="H12" s="17">
        <v>22.0</v>
      </c>
      <c r="I12" s="17">
        <v>148516.5</v>
      </c>
      <c r="J12" s="17">
        <f t="shared" si="1"/>
        <v>8</v>
      </c>
    </row>
    <row r="13">
      <c r="A13" s="16">
        <v>43952.0</v>
      </c>
      <c r="B13" s="17" t="s">
        <v>10</v>
      </c>
      <c r="C13" s="17">
        <v>32487.0</v>
      </c>
      <c r="D13" s="17">
        <v>3031254.0</v>
      </c>
      <c r="E13" s="17">
        <v>18.0</v>
      </c>
      <c r="F13" s="17">
        <v>1826.0</v>
      </c>
      <c r="G13" s="17">
        <v>1633.0</v>
      </c>
      <c r="H13" s="17">
        <v>18.0</v>
      </c>
      <c r="I13" s="17">
        <v>168403.0</v>
      </c>
      <c r="J13" s="17">
        <f t="shared" si="1"/>
        <v>9</v>
      </c>
    </row>
    <row r="14">
      <c r="A14" s="16">
        <v>43963.0</v>
      </c>
      <c r="B14" s="17" t="s">
        <v>10</v>
      </c>
      <c r="C14" s="17">
        <v>28219.5</v>
      </c>
      <c r="D14" s="17">
        <v>2595778.5</v>
      </c>
      <c r="E14" s="17">
        <v>21.0</v>
      </c>
      <c r="F14" s="17">
        <v>1656.0</v>
      </c>
      <c r="G14" s="17">
        <v>1516.0</v>
      </c>
      <c r="H14" s="17">
        <v>20.0</v>
      </c>
      <c r="I14" s="17">
        <v>123608.5</v>
      </c>
      <c r="J14" s="17">
        <f t="shared" si="1"/>
        <v>8</v>
      </c>
    </row>
    <row r="15">
      <c r="A15" s="16">
        <v>43972.0</v>
      </c>
      <c r="B15" s="17" t="s">
        <v>10</v>
      </c>
      <c r="C15" s="17">
        <v>31272.0</v>
      </c>
      <c r="D15" s="17">
        <v>2744382.0</v>
      </c>
      <c r="E15" s="17">
        <v>21.0</v>
      </c>
      <c r="F15" s="17">
        <v>1787.0</v>
      </c>
      <c r="G15" s="17">
        <v>1626.0</v>
      </c>
      <c r="H15" s="17">
        <v>21.0</v>
      </c>
      <c r="I15" s="17">
        <v>130684.85714285714</v>
      </c>
      <c r="J15" s="17">
        <f t="shared" si="1"/>
        <v>9</v>
      </c>
    </row>
    <row r="16">
      <c r="A16" s="16">
        <v>43971.0</v>
      </c>
      <c r="B16" s="17" t="s">
        <v>10</v>
      </c>
      <c r="C16" s="17">
        <v>34077.0</v>
      </c>
      <c r="D16" s="17">
        <v>2929330.5</v>
      </c>
      <c r="E16" s="17">
        <v>21.0</v>
      </c>
      <c r="F16" s="17">
        <v>1921.0</v>
      </c>
      <c r="G16" s="17">
        <v>1767.0</v>
      </c>
      <c r="H16" s="17">
        <v>21.0</v>
      </c>
      <c r="I16" s="17">
        <v>139491.92857142858</v>
      </c>
      <c r="J16" s="17">
        <f t="shared" si="1"/>
        <v>8</v>
      </c>
    </row>
    <row r="17">
      <c r="A17" s="16">
        <v>43956.0</v>
      </c>
      <c r="B17" s="17" t="s">
        <v>10</v>
      </c>
      <c r="C17" s="17">
        <v>31566.0</v>
      </c>
      <c r="D17" s="17">
        <v>2906763.0</v>
      </c>
      <c r="E17" s="17">
        <v>20.0</v>
      </c>
      <c r="F17" s="17">
        <v>1773.0</v>
      </c>
      <c r="G17" s="17">
        <v>1604.0</v>
      </c>
      <c r="H17" s="17">
        <v>19.0</v>
      </c>
      <c r="I17" s="17">
        <v>145338.15</v>
      </c>
      <c r="J17" s="17">
        <f t="shared" si="1"/>
        <v>7</v>
      </c>
    </row>
    <row r="18">
      <c r="A18" s="16">
        <v>43949.0</v>
      </c>
      <c r="B18" s="17" t="s">
        <v>10</v>
      </c>
      <c r="C18" s="17">
        <v>26940.0</v>
      </c>
      <c r="D18" s="17">
        <v>2411587.5</v>
      </c>
      <c r="E18" s="17">
        <v>18.0</v>
      </c>
      <c r="F18" s="17">
        <v>1539.0</v>
      </c>
      <c r="G18" s="17">
        <v>1404.0</v>
      </c>
      <c r="H18" s="17">
        <v>18.0</v>
      </c>
      <c r="I18" s="17">
        <v>133977.08333333334</v>
      </c>
      <c r="J18" s="17">
        <f t="shared" si="1"/>
        <v>8</v>
      </c>
    </row>
    <row r="19">
      <c r="A19" s="16">
        <v>43964.0</v>
      </c>
      <c r="B19" s="17" t="s">
        <v>10</v>
      </c>
      <c r="C19" s="17">
        <v>29241.0</v>
      </c>
      <c r="D19" s="17">
        <v>2629782.0</v>
      </c>
      <c r="E19" s="17">
        <v>21.0</v>
      </c>
      <c r="F19" s="17">
        <v>1698.0</v>
      </c>
      <c r="G19" s="17">
        <v>1554.0</v>
      </c>
      <c r="H19" s="17">
        <v>20.0</v>
      </c>
      <c r="I19" s="17">
        <v>125227.71428571429</v>
      </c>
      <c r="J19" s="17">
        <f t="shared" si="1"/>
        <v>8</v>
      </c>
    </row>
    <row r="20">
      <c r="A20" s="16">
        <v>43954.0</v>
      </c>
      <c r="B20" s="17" t="s">
        <v>10</v>
      </c>
      <c r="C20" s="17">
        <v>26082.0</v>
      </c>
      <c r="D20" s="17">
        <v>2434914.0</v>
      </c>
      <c r="E20" s="17">
        <v>20.0</v>
      </c>
      <c r="F20" s="17">
        <v>1520.0</v>
      </c>
      <c r="G20" s="17">
        <v>1373.0</v>
      </c>
      <c r="H20" s="17">
        <v>18.0</v>
      </c>
      <c r="I20" s="17">
        <v>121745.7</v>
      </c>
      <c r="J20" s="17">
        <f t="shared" si="1"/>
        <v>8</v>
      </c>
    </row>
    <row r="21">
      <c r="A21" s="16">
        <v>43957.0</v>
      </c>
      <c r="B21" s="17" t="s">
        <v>10</v>
      </c>
      <c r="C21" s="17">
        <v>32511.0</v>
      </c>
      <c r="D21" s="17">
        <v>2938623.0</v>
      </c>
      <c r="E21" s="17">
        <v>20.0</v>
      </c>
      <c r="F21" s="17">
        <v>1784.0</v>
      </c>
      <c r="G21" s="17">
        <v>1632.0</v>
      </c>
      <c r="H21" s="17">
        <v>19.0</v>
      </c>
      <c r="I21" s="17">
        <v>146931.15</v>
      </c>
      <c r="J21" s="17">
        <f t="shared" si="1"/>
        <v>7</v>
      </c>
    </row>
    <row r="22">
      <c r="A22" s="16">
        <v>43974.0</v>
      </c>
      <c r="B22" s="17" t="s">
        <v>10</v>
      </c>
      <c r="C22" s="17">
        <v>42703.5</v>
      </c>
      <c r="D22" s="17">
        <v>3628726.5</v>
      </c>
      <c r="E22" s="17">
        <v>21.0</v>
      </c>
      <c r="F22" s="17">
        <v>2340.0</v>
      </c>
      <c r="G22" s="17">
        <v>2146.0</v>
      </c>
      <c r="H22" s="17">
        <v>21.0</v>
      </c>
      <c r="I22" s="17">
        <v>172796.5</v>
      </c>
      <c r="J22" s="17">
        <f t="shared" si="1"/>
        <v>8</v>
      </c>
    </row>
    <row r="23">
      <c r="A23" s="16">
        <v>43976.0</v>
      </c>
      <c r="B23" s="17" t="s">
        <v>10</v>
      </c>
      <c r="C23" s="17">
        <v>35592.0</v>
      </c>
      <c r="D23" s="17">
        <v>3176580.0</v>
      </c>
      <c r="E23" s="17">
        <v>20.0</v>
      </c>
      <c r="F23" s="17">
        <v>2087.0</v>
      </c>
      <c r="G23" s="17">
        <v>1914.0</v>
      </c>
      <c r="H23" s="17">
        <v>22.0</v>
      </c>
      <c r="I23" s="17">
        <v>158829.0</v>
      </c>
      <c r="J23" s="17">
        <f t="shared" si="1"/>
        <v>8</v>
      </c>
    </row>
    <row r="24">
      <c r="A24" s="16">
        <v>43951.0</v>
      </c>
      <c r="B24" s="17" t="s">
        <v>10</v>
      </c>
      <c r="C24" s="17">
        <v>30445.5</v>
      </c>
      <c r="D24" s="17">
        <v>2817196.5</v>
      </c>
      <c r="E24" s="17">
        <v>19.0</v>
      </c>
      <c r="F24" s="17">
        <v>1712.0</v>
      </c>
      <c r="G24" s="17">
        <v>1552.0</v>
      </c>
      <c r="H24" s="17">
        <v>18.0</v>
      </c>
      <c r="I24" s="17">
        <v>148273.5</v>
      </c>
      <c r="J24" s="17">
        <f t="shared" si="1"/>
        <v>8</v>
      </c>
    </row>
    <row r="25">
      <c r="A25" s="16">
        <v>43961.0</v>
      </c>
      <c r="B25" s="17" t="s">
        <v>10</v>
      </c>
      <c r="C25" s="17">
        <v>36619.5</v>
      </c>
      <c r="D25" s="17">
        <v>3312967.5</v>
      </c>
      <c r="E25" s="17">
        <v>21.0</v>
      </c>
      <c r="F25" s="17">
        <v>2016.0</v>
      </c>
      <c r="G25" s="17">
        <v>1846.0</v>
      </c>
      <c r="H25" s="17">
        <v>19.0</v>
      </c>
      <c r="I25" s="17">
        <v>157760.35714285713</v>
      </c>
      <c r="J25" s="17">
        <f t="shared" si="1"/>
        <v>8</v>
      </c>
    </row>
    <row r="26">
      <c r="A26" s="16">
        <v>43959.0</v>
      </c>
      <c r="B26" s="17" t="s">
        <v>10</v>
      </c>
      <c r="C26" s="17">
        <v>29409.0</v>
      </c>
      <c r="D26" s="17">
        <v>2645160.0</v>
      </c>
      <c r="E26" s="17">
        <v>21.0</v>
      </c>
      <c r="F26" s="17">
        <v>1646.0</v>
      </c>
      <c r="G26" s="17">
        <v>1492.0</v>
      </c>
      <c r="H26" s="17">
        <v>19.0</v>
      </c>
      <c r="I26" s="17">
        <v>125960.0</v>
      </c>
      <c r="J26" s="17">
        <f t="shared" si="1"/>
        <v>8</v>
      </c>
    </row>
    <row r="27">
      <c r="A27" s="16">
        <v>43958.0</v>
      </c>
      <c r="B27" s="17" t="s">
        <v>10</v>
      </c>
      <c r="C27" s="17">
        <v>27018.0</v>
      </c>
      <c r="D27" s="17">
        <v>2472213.0</v>
      </c>
      <c r="E27" s="17">
        <v>21.0</v>
      </c>
      <c r="F27" s="17">
        <v>1542.0</v>
      </c>
      <c r="G27" s="17">
        <v>1405.0</v>
      </c>
      <c r="H27" s="17">
        <v>19.0</v>
      </c>
      <c r="I27" s="17">
        <v>117724.42857142857</v>
      </c>
      <c r="J27" s="17">
        <f t="shared" si="1"/>
        <v>8</v>
      </c>
    </row>
    <row r="28">
      <c r="A28" s="16">
        <v>43975.0</v>
      </c>
      <c r="B28" s="17" t="s">
        <v>10</v>
      </c>
      <c r="C28" s="17">
        <v>34303.5</v>
      </c>
      <c r="D28" s="17">
        <v>2924746.5</v>
      </c>
      <c r="E28" s="17">
        <v>20.0</v>
      </c>
      <c r="F28" s="17">
        <v>1999.0</v>
      </c>
      <c r="G28" s="17">
        <v>1829.0</v>
      </c>
      <c r="H28" s="17">
        <v>21.0</v>
      </c>
      <c r="I28" s="17">
        <v>146237.325</v>
      </c>
      <c r="J28" s="17">
        <f t="shared" si="1"/>
        <v>8</v>
      </c>
    </row>
    <row r="29">
      <c r="A29" s="16">
        <v>43982.0</v>
      </c>
      <c r="B29" s="17" t="s">
        <v>10</v>
      </c>
      <c r="C29" s="17">
        <v>36999.0</v>
      </c>
      <c r="D29" s="17">
        <v>3473895.0</v>
      </c>
      <c r="E29" s="17">
        <v>21.0</v>
      </c>
      <c r="F29" s="17">
        <v>2271.0</v>
      </c>
      <c r="G29" s="17">
        <v>2085.0</v>
      </c>
      <c r="H29" s="17">
        <v>22.0</v>
      </c>
      <c r="I29" s="17">
        <v>165423.57142857142</v>
      </c>
      <c r="J29" s="17">
        <f t="shared" si="1"/>
        <v>8</v>
      </c>
    </row>
    <row r="30">
      <c r="A30" s="16">
        <v>43981.0</v>
      </c>
      <c r="B30" s="17" t="s">
        <v>10</v>
      </c>
      <c r="C30" s="17">
        <v>44001.0</v>
      </c>
      <c r="D30" s="17">
        <v>3921784.5</v>
      </c>
      <c r="E30" s="17">
        <v>20.0</v>
      </c>
      <c r="F30" s="17">
        <v>2597.0</v>
      </c>
      <c r="G30" s="17">
        <v>2376.0</v>
      </c>
      <c r="H30" s="17">
        <v>22.0</v>
      </c>
      <c r="I30" s="17">
        <v>196089.225</v>
      </c>
      <c r="J30" s="17">
        <f t="shared" si="1"/>
        <v>8</v>
      </c>
    </row>
    <row r="31">
      <c r="A31" s="16">
        <v>43979.0</v>
      </c>
      <c r="B31" s="17" t="s">
        <v>10</v>
      </c>
      <c r="C31" s="17">
        <v>30982.5</v>
      </c>
      <c r="D31" s="17">
        <v>2827773.0</v>
      </c>
      <c r="E31" s="17">
        <v>20.0</v>
      </c>
      <c r="F31" s="17">
        <v>1886.0</v>
      </c>
      <c r="G31" s="17">
        <v>1736.0</v>
      </c>
      <c r="H31" s="17">
        <v>22.0</v>
      </c>
      <c r="I31" s="17">
        <v>141388.65</v>
      </c>
      <c r="J31" s="17">
        <f t="shared" si="1"/>
        <v>9</v>
      </c>
    </row>
    <row r="32">
      <c r="A32" s="16">
        <v>43967.0</v>
      </c>
      <c r="B32" s="17" t="s">
        <v>11</v>
      </c>
      <c r="C32" s="17">
        <v>88063.5</v>
      </c>
      <c r="D32" s="17">
        <v>7583758.5</v>
      </c>
      <c r="E32" s="17">
        <v>31.0</v>
      </c>
      <c r="F32" s="17">
        <v>5593.0</v>
      </c>
      <c r="G32" s="17">
        <v>5177.0</v>
      </c>
      <c r="H32" s="17">
        <v>20.0</v>
      </c>
      <c r="I32" s="17">
        <v>244637.37096774194</v>
      </c>
      <c r="J32" s="17">
        <f t="shared" si="1"/>
        <v>5</v>
      </c>
    </row>
    <row r="33">
      <c r="A33" s="16">
        <v>43970.0</v>
      </c>
      <c r="B33" s="17" t="s">
        <v>11</v>
      </c>
      <c r="C33" s="17">
        <v>84024.0</v>
      </c>
      <c r="D33" s="17">
        <v>6815511.0</v>
      </c>
      <c r="E33" s="17">
        <v>31.0</v>
      </c>
      <c r="F33" s="17">
        <v>5389.0</v>
      </c>
      <c r="G33" s="17">
        <v>5024.0</v>
      </c>
      <c r="H33" s="17">
        <v>21.0</v>
      </c>
      <c r="I33" s="17">
        <v>219855.1935483871</v>
      </c>
      <c r="J33" s="17">
        <f t="shared" si="1"/>
        <v>5</v>
      </c>
    </row>
    <row r="34">
      <c r="A34" s="16">
        <v>43968.0</v>
      </c>
      <c r="B34" s="17" t="s">
        <v>11</v>
      </c>
      <c r="C34" s="17">
        <v>78057.0</v>
      </c>
      <c r="D34" s="17">
        <v>6774946.5</v>
      </c>
      <c r="E34" s="17">
        <v>31.0</v>
      </c>
      <c r="F34" s="17">
        <v>5206.0</v>
      </c>
      <c r="G34" s="17">
        <v>4843.0</v>
      </c>
      <c r="H34" s="17">
        <v>20.0</v>
      </c>
      <c r="I34" s="17">
        <v>218546.66129032258</v>
      </c>
      <c r="J34" s="17">
        <f t="shared" si="1"/>
        <v>5</v>
      </c>
    </row>
    <row r="35">
      <c r="A35" s="16">
        <v>43960.0</v>
      </c>
      <c r="B35" s="17" t="s">
        <v>11</v>
      </c>
      <c r="C35" s="17">
        <v>69720.0</v>
      </c>
      <c r="D35" s="17">
        <v>6264933.0</v>
      </c>
      <c r="E35" s="17">
        <v>31.0</v>
      </c>
      <c r="F35" s="17">
        <v>4556.0</v>
      </c>
      <c r="G35" s="17">
        <v>4220.0</v>
      </c>
      <c r="H35" s="17">
        <v>19.0</v>
      </c>
      <c r="I35" s="17">
        <v>202094.61290322582</v>
      </c>
      <c r="J35" s="17">
        <f t="shared" si="1"/>
        <v>6</v>
      </c>
    </row>
    <row r="36">
      <c r="A36" s="16">
        <v>43955.0</v>
      </c>
      <c r="B36" s="17" t="s">
        <v>11</v>
      </c>
      <c r="C36" s="17">
        <v>72928.5</v>
      </c>
      <c r="D36" s="17">
        <v>6642249.0</v>
      </c>
      <c r="E36" s="17">
        <v>31.0</v>
      </c>
      <c r="F36" s="17">
        <v>4968.0</v>
      </c>
      <c r="G36" s="17">
        <v>4596.0</v>
      </c>
      <c r="H36" s="17">
        <v>19.0</v>
      </c>
      <c r="I36" s="17">
        <v>214266.09677419355</v>
      </c>
      <c r="J36" s="17">
        <f t="shared" si="1"/>
        <v>5</v>
      </c>
    </row>
    <row r="37">
      <c r="A37" s="16">
        <v>43950.0</v>
      </c>
      <c r="B37" s="17" t="s">
        <v>11</v>
      </c>
      <c r="C37" s="17">
        <v>79527.0</v>
      </c>
      <c r="D37" s="17">
        <v>7180498.5</v>
      </c>
      <c r="E37" s="17">
        <v>31.0</v>
      </c>
      <c r="F37" s="17">
        <v>5378.0</v>
      </c>
      <c r="G37" s="17">
        <v>4985.0</v>
      </c>
      <c r="H37" s="17">
        <v>18.0</v>
      </c>
      <c r="I37" s="17">
        <v>231628.98387096773</v>
      </c>
      <c r="J37" s="17">
        <f t="shared" si="1"/>
        <v>5</v>
      </c>
    </row>
    <row r="38">
      <c r="A38" s="16">
        <v>43953.0</v>
      </c>
      <c r="B38" s="17" t="s">
        <v>11</v>
      </c>
      <c r="C38" s="17">
        <v>60463.5</v>
      </c>
      <c r="D38" s="17">
        <v>5554192.5</v>
      </c>
      <c r="E38" s="17">
        <v>31.0</v>
      </c>
      <c r="F38" s="17">
        <v>4157.0</v>
      </c>
      <c r="G38" s="17">
        <v>3823.0</v>
      </c>
      <c r="H38" s="17">
        <v>18.0</v>
      </c>
      <c r="I38" s="17">
        <v>179167.5</v>
      </c>
      <c r="J38" s="17">
        <f t="shared" si="1"/>
        <v>5</v>
      </c>
    </row>
    <row r="39">
      <c r="A39" s="16">
        <v>43977.0</v>
      </c>
      <c r="B39" s="17" t="s">
        <v>11</v>
      </c>
      <c r="C39" s="17">
        <v>79975.5</v>
      </c>
      <c r="D39" s="17">
        <v>6676459.5</v>
      </c>
      <c r="E39" s="17">
        <v>31.0</v>
      </c>
      <c r="F39" s="17">
        <v>5493.0</v>
      </c>
      <c r="G39" s="17">
        <v>5119.0</v>
      </c>
      <c r="H39" s="17">
        <v>22.0</v>
      </c>
      <c r="I39" s="17">
        <v>215369.66129032258</v>
      </c>
      <c r="J39" s="17">
        <f t="shared" si="1"/>
        <v>5</v>
      </c>
    </row>
    <row r="40">
      <c r="A40" s="16">
        <v>43952.0</v>
      </c>
      <c r="B40" s="17" t="s">
        <v>11</v>
      </c>
      <c r="C40" s="17">
        <v>97534.5</v>
      </c>
      <c r="D40" s="17">
        <v>8893024.5</v>
      </c>
      <c r="E40" s="17">
        <v>31.0</v>
      </c>
      <c r="F40" s="17">
        <v>6118.0</v>
      </c>
      <c r="G40" s="17">
        <v>5564.0</v>
      </c>
      <c r="H40" s="17">
        <v>18.0</v>
      </c>
      <c r="I40" s="17">
        <v>286871.7580645161</v>
      </c>
      <c r="J40" s="17">
        <f t="shared" si="1"/>
        <v>5</v>
      </c>
    </row>
    <row r="41">
      <c r="A41" s="16">
        <v>43963.0</v>
      </c>
      <c r="B41" s="17" t="s">
        <v>11</v>
      </c>
      <c r="C41" s="17">
        <v>71520.0</v>
      </c>
      <c r="D41" s="17">
        <v>6398361.0</v>
      </c>
      <c r="E41" s="17">
        <v>31.0</v>
      </c>
      <c r="F41" s="17">
        <v>4800.0</v>
      </c>
      <c r="G41" s="17">
        <v>4470.0</v>
      </c>
      <c r="H41" s="17">
        <v>20.0</v>
      </c>
      <c r="I41" s="17">
        <v>206398.74193548388</v>
      </c>
      <c r="J41" s="17">
        <f t="shared" si="1"/>
        <v>5</v>
      </c>
    </row>
    <row r="42">
      <c r="A42" s="16">
        <v>43972.0</v>
      </c>
      <c r="B42" s="17" t="s">
        <v>11</v>
      </c>
      <c r="C42" s="17">
        <v>79485.0</v>
      </c>
      <c r="D42" s="17">
        <v>6633847.5</v>
      </c>
      <c r="E42" s="17">
        <v>31.0</v>
      </c>
      <c r="F42" s="17">
        <v>5207.0</v>
      </c>
      <c r="G42" s="17">
        <v>4868.0</v>
      </c>
      <c r="H42" s="17">
        <v>21.0</v>
      </c>
      <c r="I42" s="17">
        <v>213995.0806451613</v>
      </c>
      <c r="J42" s="17">
        <f t="shared" si="1"/>
        <v>5</v>
      </c>
    </row>
    <row r="43">
      <c r="A43" s="16">
        <v>43971.0</v>
      </c>
      <c r="B43" s="17" t="s">
        <v>11</v>
      </c>
      <c r="C43" s="17">
        <v>93313.5</v>
      </c>
      <c r="D43" s="17">
        <v>7247575.5</v>
      </c>
      <c r="E43" s="17">
        <v>31.0</v>
      </c>
      <c r="F43" s="17">
        <v>5698.0</v>
      </c>
      <c r="G43" s="17">
        <v>5258.0</v>
      </c>
      <c r="H43" s="17">
        <v>21.0</v>
      </c>
      <c r="I43" s="17">
        <v>233792.75806451612</v>
      </c>
      <c r="J43" s="17">
        <f t="shared" si="1"/>
        <v>5</v>
      </c>
    </row>
    <row r="44">
      <c r="A44" s="16">
        <v>43956.0</v>
      </c>
      <c r="B44" s="17" t="s">
        <v>11</v>
      </c>
      <c r="C44" s="17">
        <v>76585.5</v>
      </c>
      <c r="D44" s="17">
        <v>6921316.5</v>
      </c>
      <c r="E44" s="17">
        <v>31.0</v>
      </c>
      <c r="F44" s="17">
        <v>5188.0</v>
      </c>
      <c r="G44" s="17">
        <v>4800.0</v>
      </c>
      <c r="H44" s="17">
        <v>19.0</v>
      </c>
      <c r="I44" s="17">
        <v>223268.2741935484</v>
      </c>
      <c r="J44" s="17">
        <f t="shared" si="1"/>
        <v>5</v>
      </c>
    </row>
    <row r="45">
      <c r="A45" s="16">
        <v>43949.0</v>
      </c>
      <c r="B45" s="17" t="s">
        <v>11</v>
      </c>
      <c r="C45" s="17">
        <v>81826.5</v>
      </c>
      <c r="D45" s="17">
        <v>7163644.5</v>
      </c>
      <c r="E45" s="17">
        <v>31.0</v>
      </c>
      <c r="F45" s="17">
        <v>5465.0</v>
      </c>
      <c r="G45" s="17">
        <v>5096.0</v>
      </c>
      <c r="H45" s="17">
        <v>18.0</v>
      </c>
      <c r="I45" s="17">
        <v>231085.3064516129</v>
      </c>
      <c r="J45" s="17">
        <f t="shared" si="1"/>
        <v>5</v>
      </c>
    </row>
    <row r="46">
      <c r="A46" s="16">
        <v>43964.0</v>
      </c>
      <c r="B46" s="17" t="s">
        <v>11</v>
      </c>
      <c r="C46" s="17">
        <v>78846.0</v>
      </c>
      <c r="D46" s="17">
        <v>6993952.5</v>
      </c>
      <c r="E46" s="17">
        <v>31.0</v>
      </c>
      <c r="F46" s="17">
        <v>5251.0</v>
      </c>
      <c r="G46" s="17">
        <v>4853.0</v>
      </c>
      <c r="H46" s="17">
        <v>20.0</v>
      </c>
      <c r="I46" s="17">
        <v>225611.37096774194</v>
      </c>
      <c r="J46" s="17">
        <f t="shared" si="1"/>
        <v>5</v>
      </c>
    </row>
    <row r="47">
      <c r="A47" s="16">
        <v>43954.0</v>
      </c>
      <c r="B47" s="17" t="s">
        <v>11</v>
      </c>
      <c r="C47" s="17">
        <v>77263.5</v>
      </c>
      <c r="D47" s="17">
        <v>7013670.0</v>
      </c>
      <c r="E47" s="17">
        <v>31.0</v>
      </c>
      <c r="F47" s="17">
        <v>5155.0</v>
      </c>
      <c r="G47" s="17">
        <v>4762.0</v>
      </c>
      <c r="H47" s="17">
        <v>18.0</v>
      </c>
      <c r="I47" s="17">
        <v>226247.4193548387</v>
      </c>
      <c r="J47" s="17">
        <f t="shared" si="1"/>
        <v>5</v>
      </c>
    </row>
    <row r="48">
      <c r="A48" s="16">
        <v>43957.0</v>
      </c>
      <c r="B48" s="17" t="s">
        <v>11</v>
      </c>
      <c r="C48" s="17">
        <v>68994.0</v>
      </c>
      <c r="D48" s="17">
        <v>6168657.0</v>
      </c>
      <c r="E48" s="17">
        <v>31.0</v>
      </c>
      <c r="F48" s="17">
        <v>4709.0</v>
      </c>
      <c r="G48" s="17">
        <v>4348.0</v>
      </c>
      <c r="H48" s="17">
        <v>19.0</v>
      </c>
      <c r="I48" s="17">
        <v>198988.93548387097</v>
      </c>
      <c r="J48" s="17">
        <f t="shared" si="1"/>
        <v>5</v>
      </c>
    </row>
    <row r="49">
      <c r="A49" s="16">
        <v>43974.0</v>
      </c>
      <c r="B49" s="17" t="s">
        <v>11</v>
      </c>
      <c r="C49" s="17">
        <v>102889.5</v>
      </c>
      <c r="D49" s="17">
        <v>8089143.0</v>
      </c>
      <c r="E49" s="17">
        <v>31.0</v>
      </c>
      <c r="F49" s="17">
        <v>6276.0</v>
      </c>
      <c r="G49" s="17">
        <v>5801.0</v>
      </c>
      <c r="H49" s="17">
        <v>21.0</v>
      </c>
      <c r="I49" s="17">
        <v>260940.09677419355</v>
      </c>
      <c r="J49" s="17">
        <f t="shared" si="1"/>
        <v>5</v>
      </c>
    </row>
    <row r="50">
      <c r="A50" s="16">
        <v>43976.0</v>
      </c>
      <c r="B50" s="17" t="s">
        <v>11</v>
      </c>
      <c r="C50" s="17">
        <v>76999.5</v>
      </c>
      <c r="D50" s="17">
        <v>6645603.0</v>
      </c>
      <c r="E50" s="17">
        <v>31.0</v>
      </c>
      <c r="F50" s="17">
        <v>5210.0</v>
      </c>
      <c r="G50" s="17">
        <v>4841.0</v>
      </c>
      <c r="H50" s="17">
        <v>22.0</v>
      </c>
      <c r="I50" s="17">
        <v>214374.29032258064</v>
      </c>
      <c r="J50" s="17">
        <f t="shared" si="1"/>
        <v>5</v>
      </c>
    </row>
    <row r="51">
      <c r="A51" s="16">
        <v>43951.0</v>
      </c>
      <c r="B51" s="17" t="s">
        <v>11</v>
      </c>
      <c r="C51" s="17">
        <v>77565.0</v>
      </c>
      <c r="D51" s="17">
        <v>7023727.5</v>
      </c>
      <c r="E51" s="17">
        <v>31.0</v>
      </c>
      <c r="F51" s="17">
        <v>5120.0</v>
      </c>
      <c r="G51" s="17">
        <v>4737.0</v>
      </c>
      <c r="H51" s="17">
        <v>18.0</v>
      </c>
      <c r="I51" s="17">
        <v>226571.85483870967</v>
      </c>
      <c r="J51" s="17">
        <f t="shared" si="1"/>
        <v>5</v>
      </c>
    </row>
    <row r="52">
      <c r="A52" s="16">
        <v>43961.0</v>
      </c>
      <c r="B52" s="17" t="s">
        <v>11</v>
      </c>
      <c r="C52" s="17">
        <v>84132.0</v>
      </c>
      <c r="D52" s="17">
        <v>7483194.0</v>
      </c>
      <c r="E52" s="17">
        <v>31.0</v>
      </c>
      <c r="F52" s="17">
        <v>5495.0</v>
      </c>
      <c r="G52" s="17">
        <v>5093.0</v>
      </c>
      <c r="H52" s="17">
        <v>19.0</v>
      </c>
      <c r="I52" s="17">
        <v>241393.35483870967</v>
      </c>
      <c r="J52" s="17">
        <f t="shared" si="1"/>
        <v>6</v>
      </c>
    </row>
    <row r="53">
      <c r="A53" s="16">
        <v>43959.0</v>
      </c>
      <c r="B53" s="17" t="s">
        <v>11</v>
      </c>
      <c r="C53" s="17">
        <v>69544.5</v>
      </c>
      <c r="D53" s="17">
        <v>6293776.5</v>
      </c>
      <c r="E53" s="17">
        <v>31.0</v>
      </c>
      <c r="F53" s="17">
        <v>4635.0</v>
      </c>
      <c r="G53" s="17">
        <v>4266.0</v>
      </c>
      <c r="H53" s="17">
        <v>19.0</v>
      </c>
      <c r="I53" s="17">
        <v>203025.0483870968</v>
      </c>
      <c r="J53" s="17">
        <f t="shared" si="1"/>
        <v>5</v>
      </c>
    </row>
    <row r="54">
      <c r="A54" s="16">
        <v>43958.0</v>
      </c>
      <c r="B54" s="17" t="s">
        <v>11</v>
      </c>
      <c r="C54" s="17">
        <v>73204.5</v>
      </c>
      <c r="D54" s="17">
        <v>6591883.5</v>
      </c>
      <c r="E54" s="17">
        <v>31.0</v>
      </c>
      <c r="F54" s="17">
        <v>4903.0</v>
      </c>
      <c r="G54" s="17">
        <v>4527.0</v>
      </c>
      <c r="H54" s="17">
        <v>19.0</v>
      </c>
      <c r="I54" s="17">
        <v>212641.40322580645</v>
      </c>
      <c r="J54" s="17">
        <f t="shared" si="1"/>
        <v>5</v>
      </c>
    </row>
    <row r="55">
      <c r="A55" s="16">
        <v>43975.0</v>
      </c>
      <c r="B55" s="17" t="s">
        <v>11</v>
      </c>
      <c r="C55" s="17">
        <v>76663.5</v>
      </c>
      <c r="D55" s="17">
        <v>6451032.0</v>
      </c>
      <c r="E55" s="17">
        <v>31.0</v>
      </c>
      <c r="F55" s="17">
        <v>5035.0</v>
      </c>
      <c r="G55" s="17">
        <v>4683.0</v>
      </c>
      <c r="H55" s="17">
        <v>21.0</v>
      </c>
      <c r="I55" s="17">
        <v>208097.8064516129</v>
      </c>
      <c r="J55" s="17">
        <f t="shared" si="1"/>
        <v>5</v>
      </c>
    </row>
    <row r="56">
      <c r="A56" s="16">
        <v>43967.0</v>
      </c>
      <c r="B56" s="17" t="s">
        <v>12</v>
      </c>
      <c r="C56" s="17">
        <v>14265.0</v>
      </c>
      <c r="D56" s="17">
        <v>1130506.5</v>
      </c>
      <c r="E56" s="17">
        <v>10.0</v>
      </c>
      <c r="F56" s="17">
        <v>760.0</v>
      </c>
      <c r="G56" s="17">
        <v>672.0</v>
      </c>
      <c r="H56" s="17">
        <v>20.0</v>
      </c>
      <c r="I56" s="17">
        <v>113050.65</v>
      </c>
      <c r="J56" s="17">
        <f t="shared" si="1"/>
        <v>14</v>
      </c>
    </row>
    <row r="57">
      <c r="A57" s="16">
        <v>43970.0</v>
      </c>
      <c r="B57" s="17" t="s">
        <v>12</v>
      </c>
      <c r="C57" s="17">
        <v>11526.0</v>
      </c>
      <c r="D57" s="17">
        <v>938764.5</v>
      </c>
      <c r="E57" s="17">
        <v>10.0</v>
      </c>
      <c r="F57" s="17">
        <v>649.0</v>
      </c>
      <c r="G57" s="17">
        <v>568.0</v>
      </c>
      <c r="H57" s="17">
        <v>21.0</v>
      </c>
      <c r="I57" s="17">
        <v>93876.45</v>
      </c>
      <c r="J57" s="17">
        <f t="shared" si="1"/>
        <v>14</v>
      </c>
    </row>
    <row r="58">
      <c r="A58" s="16">
        <v>43968.0</v>
      </c>
      <c r="B58" s="17" t="s">
        <v>12</v>
      </c>
      <c r="C58" s="17">
        <v>10402.5</v>
      </c>
      <c r="D58" s="17">
        <v>843727.5</v>
      </c>
      <c r="E58" s="17">
        <v>10.0</v>
      </c>
      <c r="F58" s="17">
        <v>591.0</v>
      </c>
      <c r="G58" s="17">
        <v>513.0</v>
      </c>
      <c r="H58" s="17">
        <v>20.0</v>
      </c>
      <c r="I58" s="17">
        <v>84372.75</v>
      </c>
      <c r="J58" s="17">
        <f t="shared" si="1"/>
        <v>14</v>
      </c>
    </row>
    <row r="59">
      <c r="A59" s="16">
        <v>43960.0</v>
      </c>
      <c r="B59" s="17" t="s">
        <v>12</v>
      </c>
      <c r="C59" s="17">
        <v>13216.5</v>
      </c>
      <c r="D59" s="17">
        <v>1046400.0</v>
      </c>
      <c r="E59" s="17">
        <v>10.0</v>
      </c>
      <c r="F59" s="17">
        <v>644.0</v>
      </c>
      <c r="G59" s="17">
        <v>559.0</v>
      </c>
      <c r="H59" s="17">
        <v>19.0</v>
      </c>
      <c r="I59" s="17">
        <v>104640.0</v>
      </c>
      <c r="J59" s="17">
        <f t="shared" si="1"/>
        <v>13</v>
      </c>
    </row>
    <row r="60">
      <c r="A60" s="16">
        <v>43955.0</v>
      </c>
      <c r="B60" s="17" t="s">
        <v>12</v>
      </c>
      <c r="C60" s="17">
        <v>9130.5</v>
      </c>
      <c r="D60" s="17">
        <v>728890.5</v>
      </c>
      <c r="E60" s="17">
        <v>10.0</v>
      </c>
      <c r="F60" s="17">
        <v>462.0</v>
      </c>
      <c r="G60" s="17">
        <v>396.0</v>
      </c>
      <c r="H60" s="17">
        <v>19.0</v>
      </c>
      <c r="I60" s="17">
        <v>72889.05</v>
      </c>
      <c r="J60" s="17">
        <f t="shared" si="1"/>
        <v>13</v>
      </c>
    </row>
    <row r="61">
      <c r="A61" s="16">
        <v>43950.0</v>
      </c>
      <c r="B61" s="17" t="s">
        <v>12</v>
      </c>
      <c r="C61" s="17">
        <v>10840.5</v>
      </c>
      <c r="D61" s="17">
        <v>797919.0</v>
      </c>
      <c r="E61" s="17">
        <v>10.0</v>
      </c>
      <c r="F61" s="17">
        <v>502.0</v>
      </c>
      <c r="G61" s="17">
        <v>433.0</v>
      </c>
      <c r="H61" s="17">
        <v>18.0</v>
      </c>
      <c r="I61" s="17">
        <v>79791.9</v>
      </c>
      <c r="J61" s="17">
        <f t="shared" si="1"/>
        <v>13</v>
      </c>
    </row>
    <row r="62">
      <c r="A62" s="16">
        <v>43953.0</v>
      </c>
      <c r="B62" s="17" t="s">
        <v>12</v>
      </c>
      <c r="C62" s="17">
        <v>7866.0</v>
      </c>
      <c r="D62" s="17">
        <v>617881.5</v>
      </c>
      <c r="E62" s="17">
        <v>10.0</v>
      </c>
      <c r="F62" s="17">
        <v>416.0</v>
      </c>
      <c r="G62" s="17">
        <v>341.0</v>
      </c>
      <c r="H62" s="17">
        <v>18.0</v>
      </c>
      <c r="I62" s="17">
        <v>61788.15</v>
      </c>
      <c r="J62" s="17">
        <f t="shared" si="1"/>
        <v>13</v>
      </c>
    </row>
    <row r="63">
      <c r="A63" s="16">
        <v>43977.0</v>
      </c>
      <c r="B63" s="17" t="s">
        <v>12</v>
      </c>
      <c r="C63" s="17">
        <v>11835.0</v>
      </c>
      <c r="D63" s="17">
        <v>983109.0</v>
      </c>
      <c r="E63" s="17">
        <v>10.0</v>
      </c>
      <c r="F63" s="17">
        <v>692.0</v>
      </c>
      <c r="G63" s="17">
        <v>601.0</v>
      </c>
      <c r="H63" s="17">
        <v>22.0</v>
      </c>
      <c r="I63" s="17">
        <v>98310.9</v>
      </c>
      <c r="J63" s="17">
        <f t="shared" si="1"/>
        <v>14</v>
      </c>
    </row>
    <row r="64">
      <c r="A64" s="16">
        <v>43952.0</v>
      </c>
      <c r="B64" s="17" t="s">
        <v>12</v>
      </c>
      <c r="C64" s="17">
        <v>11619.0</v>
      </c>
      <c r="D64" s="17">
        <v>891139.5</v>
      </c>
      <c r="E64" s="17">
        <v>10.0</v>
      </c>
      <c r="F64" s="17">
        <v>554.0</v>
      </c>
      <c r="G64" s="17">
        <v>472.0</v>
      </c>
      <c r="H64" s="17">
        <v>18.0</v>
      </c>
      <c r="I64" s="17">
        <v>89113.95</v>
      </c>
      <c r="J64" s="17">
        <f t="shared" si="1"/>
        <v>13</v>
      </c>
    </row>
    <row r="65">
      <c r="A65" s="16">
        <v>43963.0</v>
      </c>
      <c r="B65" s="17" t="s">
        <v>12</v>
      </c>
      <c r="C65" s="17">
        <v>9328.5</v>
      </c>
      <c r="D65" s="17">
        <v>732964.5</v>
      </c>
      <c r="E65" s="17">
        <v>10.0</v>
      </c>
      <c r="F65" s="17">
        <v>526.0</v>
      </c>
      <c r="G65" s="17">
        <v>448.0</v>
      </c>
      <c r="H65" s="17">
        <v>20.0</v>
      </c>
      <c r="I65" s="17">
        <v>73296.45</v>
      </c>
      <c r="J65" s="17">
        <f t="shared" si="1"/>
        <v>14</v>
      </c>
    </row>
    <row r="66">
      <c r="A66" s="16">
        <v>43972.0</v>
      </c>
      <c r="B66" s="17" t="s">
        <v>12</v>
      </c>
      <c r="C66" s="17">
        <v>11250.0</v>
      </c>
      <c r="D66" s="17">
        <v>935523.0</v>
      </c>
      <c r="E66" s="17">
        <v>10.0</v>
      </c>
      <c r="F66" s="17">
        <v>677.0</v>
      </c>
      <c r="G66" s="17">
        <v>591.0</v>
      </c>
      <c r="H66" s="17">
        <v>21.0</v>
      </c>
      <c r="I66" s="17">
        <v>93552.3</v>
      </c>
      <c r="J66" s="17">
        <f t="shared" si="1"/>
        <v>14</v>
      </c>
    </row>
    <row r="67">
      <c r="A67" s="16">
        <v>43971.0</v>
      </c>
      <c r="B67" s="17" t="s">
        <v>12</v>
      </c>
      <c r="C67" s="17">
        <v>13063.5</v>
      </c>
      <c r="D67" s="17">
        <v>1037247.0</v>
      </c>
      <c r="E67" s="17">
        <v>10.0</v>
      </c>
      <c r="F67" s="17">
        <v>745.0</v>
      </c>
      <c r="G67" s="17">
        <v>654.0</v>
      </c>
      <c r="H67" s="17">
        <v>21.0</v>
      </c>
      <c r="I67" s="17">
        <v>103724.7</v>
      </c>
      <c r="J67" s="17">
        <f t="shared" si="1"/>
        <v>14</v>
      </c>
    </row>
    <row r="68">
      <c r="A68" s="16">
        <v>43956.0</v>
      </c>
      <c r="B68" s="17" t="s">
        <v>12</v>
      </c>
      <c r="C68" s="17">
        <v>10147.5</v>
      </c>
      <c r="D68" s="17">
        <v>793320.0</v>
      </c>
      <c r="E68" s="17">
        <v>10.0</v>
      </c>
      <c r="F68" s="17">
        <v>511.0</v>
      </c>
      <c r="G68" s="17">
        <v>437.0</v>
      </c>
      <c r="H68" s="17">
        <v>19.0</v>
      </c>
      <c r="I68" s="17">
        <v>79332.0</v>
      </c>
      <c r="J68" s="17">
        <f t="shared" si="1"/>
        <v>13</v>
      </c>
    </row>
    <row r="69">
      <c r="A69" s="16">
        <v>43949.0</v>
      </c>
      <c r="B69" s="17" t="s">
        <v>12</v>
      </c>
      <c r="C69" s="17">
        <v>12331.5</v>
      </c>
      <c r="D69" s="17">
        <v>869983.5</v>
      </c>
      <c r="E69" s="17">
        <v>10.0</v>
      </c>
      <c r="F69" s="17">
        <v>580.0</v>
      </c>
      <c r="G69" s="17">
        <v>506.0</v>
      </c>
      <c r="H69" s="17">
        <v>18.0</v>
      </c>
      <c r="I69" s="17">
        <v>86998.35</v>
      </c>
      <c r="J69" s="17">
        <f t="shared" si="1"/>
        <v>13</v>
      </c>
    </row>
    <row r="70">
      <c r="A70" s="16">
        <v>43964.0</v>
      </c>
      <c r="B70" s="17" t="s">
        <v>12</v>
      </c>
      <c r="C70" s="17">
        <v>11202.0</v>
      </c>
      <c r="D70" s="17">
        <v>865714.5</v>
      </c>
      <c r="E70" s="17">
        <v>10.0</v>
      </c>
      <c r="F70" s="17">
        <v>612.0</v>
      </c>
      <c r="G70" s="17">
        <v>530.0</v>
      </c>
      <c r="H70" s="17">
        <v>20.0</v>
      </c>
      <c r="I70" s="17">
        <v>86571.45</v>
      </c>
      <c r="J70" s="17">
        <f t="shared" si="1"/>
        <v>14</v>
      </c>
    </row>
    <row r="71">
      <c r="A71" s="16">
        <v>43982.0</v>
      </c>
      <c r="B71" s="17" t="s">
        <v>11</v>
      </c>
      <c r="C71" s="17">
        <v>89149.5</v>
      </c>
      <c r="D71" s="17">
        <v>7512646.5</v>
      </c>
      <c r="E71" s="17">
        <v>31.0</v>
      </c>
      <c r="F71" s="17">
        <v>5760.0</v>
      </c>
      <c r="G71" s="17">
        <v>5367.0</v>
      </c>
      <c r="H71" s="17">
        <v>22.0</v>
      </c>
      <c r="I71" s="17">
        <v>242343.43548387097</v>
      </c>
      <c r="J71" s="17">
        <f t="shared" si="1"/>
        <v>5</v>
      </c>
    </row>
    <row r="72">
      <c r="A72" s="16">
        <v>43954.0</v>
      </c>
      <c r="B72" s="17" t="s">
        <v>12</v>
      </c>
      <c r="C72" s="17">
        <v>8185.5</v>
      </c>
      <c r="D72" s="17">
        <v>637881.0</v>
      </c>
      <c r="E72" s="17">
        <v>10.0</v>
      </c>
      <c r="F72" s="17">
        <v>402.0</v>
      </c>
      <c r="G72" s="17">
        <v>333.0</v>
      </c>
      <c r="H72" s="17">
        <v>18.0</v>
      </c>
      <c r="I72" s="17">
        <v>63788.1</v>
      </c>
      <c r="J72" s="17">
        <f t="shared" si="1"/>
        <v>14</v>
      </c>
    </row>
    <row r="73">
      <c r="A73" s="16">
        <v>43981.0</v>
      </c>
      <c r="B73" s="17" t="s">
        <v>11</v>
      </c>
      <c r="C73" s="17">
        <v>108123.0</v>
      </c>
      <c r="D73" s="17">
        <v>9164707.5</v>
      </c>
      <c r="E73" s="17">
        <v>31.0</v>
      </c>
      <c r="F73" s="17">
        <v>6735.0</v>
      </c>
      <c r="G73" s="17">
        <v>6264.0</v>
      </c>
      <c r="H73" s="17">
        <v>22.0</v>
      </c>
      <c r="I73" s="17">
        <v>295635.72580645164</v>
      </c>
      <c r="J73" s="17">
        <f t="shared" si="1"/>
        <v>5</v>
      </c>
    </row>
    <row r="74">
      <c r="A74" s="16">
        <v>43957.0</v>
      </c>
      <c r="B74" s="17" t="s">
        <v>12</v>
      </c>
      <c r="C74" s="17">
        <v>9210.0</v>
      </c>
      <c r="D74" s="17">
        <v>696832.5</v>
      </c>
      <c r="E74" s="17">
        <v>10.0</v>
      </c>
      <c r="F74" s="17">
        <v>465.0</v>
      </c>
      <c r="G74" s="17">
        <v>390.0</v>
      </c>
      <c r="H74" s="17">
        <v>19.0</v>
      </c>
      <c r="I74" s="17">
        <v>69683.25</v>
      </c>
      <c r="J74" s="17">
        <f t="shared" si="1"/>
        <v>14</v>
      </c>
    </row>
    <row r="75">
      <c r="A75" s="16">
        <v>43974.0</v>
      </c>
      <c r="B75" s="17" t="s">
        <v>12</v>
      </c>
      <c r="C75" s="17">
        <v>14773.5</v>
      </c>
      <c r="D75" s="17">
        <v>1241383.5</v>
      </c>
      <c r="E75" s="17">
        <v>10.0</v>
      </c>
      <c r="F75" s="17">
        <v>828.0</v>
      </c>
      <c r="G75" s="17">
        <v>734.0</v>
      </c>
      <c r="H75" s="17">
        <v>21.0</v>
      </c>
      <c r="I75" s="17">
        <v>124138.35</v>
      </c>
      <c r="J75" s="17">
        <f t="shared" si="1"/>
        <v>14</v>
      </c>
    </row>
    <row r="76">
      <c r="A76" s="16">
        <v>43979.0</v>
      </c>
      <c r="B76" s="17" t="s">
        <v>11</v>
      </c>
      <c r="C76" s="17">
        <v>78141.0</v>
      </c>
      <c r="D76" s="17">
        <v>6641569.5</v>
      </c>
      <c r="E76" s="17">
        <v>31.0</v>
      </c>
      <c r="F76" s="17">
        <v>5355.0</v>
      </c>
      <c r="G76" s="17">
        <v>4969.0</v>
      </c>
      <c r="H76" s="17">
        <v>22.0</v>
      </c>
      <c r="I76" s="17">
        <v>214244.17741935485</v>
      </c>
      <c r="J76" s="17">
        <f t="shared" si="1"/>
        <v>5</v>
      </c>
    </row>
    <row r="77">
      <c r="A77" s="16">
        <v>43976.0</v>
      </c>
      <c r="B77" s="17" t="s">
        <v>12</v>
      </c>
      <c r="C77" s="17">
        <v>12280.5</v>
      </c>
      <c r="D77" s="17">
        <v>1030440.0</v>
      </c>
      <c r="E77" s="17">
        <v>10.0</v>
      </c>
      <c r="F77" s="17">
        <v>739.0</v>
      </c>
      <c r="G77" s="17">
        <v>642.0</v>
      </c>
      <c r="H77" s="17">
        <v>22.0</v>
      </c>
      <c r="I77" s="17">
        <v>103044.0</v>
      </c>
      <c r="J77" s="17">
        <f t="shared" si="1"/>
        <v>14</v>
      </c>
    </row>
    <row r="78">
      <c r="A78" s="16">
        <v>43951.0</v>
      </c>
      <c r="B78" s="17" t="s">
        <v>12</v>
      </c>
      <c r="C78" s="17">
        <v>8934.0</v>
      </c>
      <c r="D78" s="17">
        <v>716196.0</v>
      </c>
      <c r="E78" s="17">
        <v>10.0</v>
      </c>
      <c r="F78" s="17">
        <v>448.0</v>
      </c>
      <c r="G78" s="17">
        <v>376.0</v>
      </c>
      <c r="H78" s="17">
        <v>18.0</v>
      </c>
      <c r="I78" s="17">
        <v>71619.6</v>
      </c>
      <c r="J78" s="17">
        <f t="shared" si="1"/>
        <v>13</v>
      </c>
    </row>
    <row r="79">
      <c r="A79" s="16">
        <v>43961.0</v>
      </c>
      <c r="B79" s="17" t="s">
        <v>12</v>
      </c>
      <c r="C79" s="17">
        <v>12918.0</v>
      </c>
      <c r="D79" s="17">
        <v>1004788.5</v>
      </c>
      <c r="E79" s="17">
        <v>10.0</v>
      </c>
      <c r="F79" s="17">
        <v>642.0</v>
      </c>
      <c r="G79" s="17">
        <v>556.0</v>
      </c>
      <c r="H79" s="17">
        <v>19.0</v>
      </c>
      <c r="I79" s="17">
        <v>100478.85</v>
      </c>
      <c r="J79" s="17">
        <f t="shared" si="1"/>
        <v>14</v>
      </c>
    </row>
    <row r="80">
      <c r="A80" s="16">
        <v>43959.0</v>
      </c>
      <c r="B80" s="17" t="s">
        <v>12</v>
      </c>
      <c r="C80" s="17">
        <v>12528.0</v>
      </c>
      <c r="D80" s="17">
        <v>959703.0</v>
      </c>
      <c r="E80" s="17">
        <v>10.0</v>
      </c>
      <c r="F80" s="17">
        <v>638.0</v>
      </c>
      <c r="G80" s="17">
        <v>547.0</v>
      </c>
      <c r="H80" s="17">
        <v>19.0</v>
      </c>
      <c r="I80" s="17">
        <v>95970.3</v>
      </c>
      <c r="J80" s="17">
        <f t="shared" si="1"/>
        <v>13</v>
      </c>
    </row>
    <row r="81">
      <c r="A81" s="16">
        <v>43958.0</v>
      </c>
      <c r="B81" s="17" t="s">
        <v>12</v>
      </c>
      <c r="C81" s="17">
        <v>11029.5</v>
      </c>
      <c r="D81" s="17">
        <v>863754.0</v>
      </c>
      <c r="E81" s="17">
        <v>10.0</v>
      </c>
      <c r="F81" s="17">
        <v>563.0</v>
      </c>
      <c r="G81" s="17">
        <v>486.0</v>
      </c>
      <c r="H81" s="17">
        <v>19.0</v>
      </c>
      <c r="I81" s="17">
        <v>86375.4</v>
      </c>
      <c r="J81" s="17">
        <f t="shared" si="1"/>
        <v>13</v>
      </c>
    </row>
    <row r="82">
      <c r="A82" s="16">
        <v>43975.0</v>
      </c>
      <c r="B82" s="17" t="s">
        <v>12</v>
      </c>
      <c r="C82" s="17">
        <v>9994.5</v>
      </c>
      <c r="D82" s="17">
        <v>828984.0</v>
      </c>
      <c r="E82" s="17">
        <v>10.0</v>
      </c>
      <c r="F82" s="17">
        <v>639.0</v>
      </c>
      <c r="G82" s="17">
        <v>557.0</v>
      </c>
      <c r="H82" s="17">
        <v>21.0</v>
      </c>
      <c r="I82" s="17">
        <v>82898.4</v>
      </c>
      <c r="J82" s="17">
        <f t="shared" si="1"/>
        <v>14</v>
      </c>
    </row>
    <row r="83">
      <c r="A83" s="16">
        <v>43982.0</v>
      </c>
      <c r="B83" s="17" t="s">
        <v>12</v>
      </c>
      <c r="C83" s="17">
        <v>12724.5</v>
      </c>
      <c r="D83" s="17">
        <v>1045515.0</v>
      </c>
      <c r="E83" s="17">
        <v>10.0</v>
      </c>
      <c r="F83" s="17">
        <v>749.0</v>
      </c>
      <c r="G83" s="17">
        <v>655.0</v>
      </c>
      <c r="H83" s="17">
        <v>22.0</v>
      </c>
      <c r="I83" s="17">
        <v>104551.5</v>
      </c>
      <c r="J83" s="17">
        <f t="shared" si="1"/>
        <v>14</v>
      </c>
    </row>
    <row r="84">
      <c r="A84" s="16">
        <v>43981.0</v>
      </c>
      <c r="B84" s="17" t="s">
        <v>12</v>
      </c>
      <c r="C84" s="17">
        <v>14728.5</v>
      </c>
      <c r="D84" s="17">
        <v>1260483.0</v>
      </c>
      <c r="E84" s="17">
        <v>10.0</v>
      </c>
      <c r="F84" s="17">
        <v>865.0</v>
      </c>
      <c r="G84" s="17">
        <v>763.0</v>
      </c>
      <c r="H84" s="17">
        <v>22.0</v>
      </c>
      <c r="I84" s="17">
        <v>126048.3</v>
      </c>
      <c r="J84" s="17">
        <f t="shared" si="1"/>
        <v>14</v>
      </c>
    </row>
    <row r="85">
      <c r="A85" s="16">
        <v>43979.0</v>
      </c>
      <c r="B85" s="17" t="s">
        <v>12</v>
      </c>
      <c r="C85" s="17">
        <v>13038.0</v>
      </c>
      <c r="D85" s="17">
        <v>1114552.5</v>
      </c>
      <c r="E85" s="17">
        <v>10.0</v>
      </c>
      <c r="F85" s="17">
        <v>791.0</v>
      </c>
      <c r="G85" s="17">
        <v>697.0</v>
      </c>
      <c r="H85" s="17">
        <v>22.0</v>
      </c>
      <c r="I85" s="17">
        <v>111455.25</v>
      </c>
      <c r="J85" s="17">
        <f t="shared" si="1"/>
        <v>14</v>
      </c>
    </row>
    <row r="86">
      <c r="A86" s="16">
        <v>43967.0</v>
      </c>
      <c r="B86" s="17" t="s">
        <v>13</v>
      </c>
      <c r="C86" s="17">
        <v>35482.5</v>
      </c>
      <c r="D86" s="17">
        <v>3222517.5</v>
      </c>
      <c r="E86" s="17">
        <v>19.0</v>
      </c>
      <c r="F86" s="17">
        <v>2080.0</v>
      </c>
      <c r="G86" s="17">
        <v>1844.0</v>
      </c>
      <c r="H86" s="17">
        <v>20.0</v>
      </c>
      <c r="I86" s="17">
        <v>169606.18421052632</v>
      </c>
      <c r="J86" s="17">
        <f t="shared" si="1"/>
        <v>9</v>
      </c>
    </row>
    <row r="87">
      <c r="A87" s="16">
        <v>43970.0</v>
      </c>
      <c r="B87" s="17" t="s">
        <v>13</v>
      </c>
      <c r="C87" s="17">
        <v>32434.5</v>
      </c>
      <c r="D87" s="17">
        <v>2865337.5</v>
      </c>
      <c r="E87" s="17">
        <v>19.0</v>
      </c>
      <c r="F87" s="17">
        <v>1999.0</v>
      </c>
      <c r="G87" s="17">
        <v>1799.0</v>
      </c>
      <c r="H87" s="17">
        <v>21.0</v>
      </c>
      <c r="I87" s="17">
        <v>150807.23684210525</v>
      </c>
      <c r="J87" s="17">
        <f t="shared" si="1"/>
        <v>8</v>
      </c>
    </row>
    <row r="88">
      <c r="A88" s="16">
        <v>43968.0</v>
      </c>
      <c r="B88" s="17" t="s">
        <v>13</v>
      </c>
      <c r="C88" s="17">
        <v>30486.0</v>
      </c>
      <c r="D88" s="17">
        <v>2694289.5</v>
      </c>
      <c r="E88" s="17">
        <v>19.0</v>
      </c>
      <c r="F88" s="17">
        <v>1871.0</v>
      </c>
      <c r="G88" s="17">
        <v>1660.0</v>
      </c>
      <c r="H88" s="17">
        <v>20.0</v>
      </c>
      <c r="I88" s="17">
        <v>141804.7105263158</v>
      </c>
      <c r="J88" s="17">
        <f t="shared" si="1"/>
        <v>9</v>
      </c>
    </row>
    <row r="89">
      <c r="A89" s="16">
        <v>43960.0</v>
      </c>
      <c r="B89" s="17" t="s">
        <v>13</v>
      </c>
      <c r="C89" s="17">
        <v>32079.0</v>
      </c>
      <c r="D89" s="17">
        <v>2902167.0</v>
      </c>
      <c r="E89" s="17">
        <v>19.0</v>
      </c>
      <c r="F89" s="17">
        <v>1851.0</v>
      </c>
      <c r="G89" s="17">
        <v>1635.0</v>
      </c>
      <c r="H89" s="17">
        <v>19.0</v>
      </c>
      <c r="I89" s="17">
        <v>152745.63157894736</v>
      </c>
      <c r="J89" s="17">
        <f t="shared" si="1"/>
        <v>8</v>
      </c>
    </row>
    <row r="90">
      <c r="A90" s="16">
        <v>43955.0</v>
      </c>
      <c r="B90" s="17" t="s">
        <v>13</v>
      </c>
      <c r="C90" s="17">
        <v>27072.0</v>
      </c>
      <c r="D90" s="17">
        <v>2450968.5</v>
      </c>
      <c r="E90" s="17">
        <v>19.0</v>
      </c>
      <c r="F90" s="17">
        <v>1582.0</v>
      </c>
      <c r="G90" s="17">
        <v>1403.0</v>
      </c>
      <c r="H90" s="17">
        <v>19.0</v>
      </c>
      <c r="I90" s="17">
        <v>128998.34210526316</v>
      </c>
      <c r="J90" s="17">
        <f t="shared" si="1"/>
        <v>8</v>
      </c>
    </row>
    <row r="91">
      <c r="A91" s="16">
        <v>43950.0</v>
      </c>
      <c r="B91" s="17" t="s">
        <v>13</v>
      </c>
      <c r="C91" s="17">
        <v>25917.0</v>
      </c>
      <c r="D91" s="17">
        <v>2397588.0</v>
      </c>
      <c r="E91" s="17">
        <v>18.0</v>
      </c>
      <c r="F91" s="17">
        <v>1534.0</v>
      </c>
      <c r="G91" s="17">
        <v>1369.0</v>
      </c>
      <c r="H91" s="17">
        <v>18.0</v>
      </c>
      <c r="I91" s="17">
        <v>133199.33333333334</v>
      </c>
      <c r="J91" s="17">
        <f t="shared" si="1"/>
        <v>9</v>
      </c>
    </row>
    <row r="92">
      <c r="A92" s="16">
        <v>43953.0</v>
      </c>
      <c r="B92" s="17" t="s">
        <v>13</v>
      </c>
      <c r="C92" s="17">
        <v>19461.0</v>
      </c>
      <c r="D92" s="17">
        <v>1799230.5</v>
      </c>
      <c r="E92" s="17">
        <v>19.0</v>
      </c>
      <c r="F92" s="17">
        <v>1217.0</v>
      </c>
      <c r="G92" s="17">
        <v>1048.0</v>
      </c>
      <c r="H92" s="17">
        <v>18.0</v>
      </c>
      <c r="I92" s="17">
        <v>94696.34210526316</v>
      </c>
      <c r="J92" s="17">
        <f t="shared" si="1"/>
        <v>9</v>
      </c>
    </row>
    <row r="93">
      <c r="A93" s="16">
        <v>43977.0</v>
      </c>
      <c r="B93" s="17" t="s">
        <v>13</v>
      </c>
      <c r="C93" s="17">
        <v>31407.0</v>
      </c>
      <c r="D93" s="17">
        <v>2907411.0</v>
      </c>
      <c r="E93" s="17">
        <v>20.0</v>
      </c>
      <c r="F93" s="17">
        <v>2036.0</v>
      </c>
      <c r="G93" s="17">
        <v>1790.0</v>
      </c>
      <c r="H93" s="17">
        <v>22.0</v>
      </c>
      <c r="I93" s="17">
        <v>145370.55</v>
      </c>
      <c r="J93" s="17">
        <f t="shared" si="1"/>
        <v>9</v>
      </c>
    </row>
    <row r="94">
      <c r="A94" s="16">
        <v>43952.0</v>
      </c>
      <c r="B94" s="17" t="s">
        <v>13</v>
      </c>
      <c r="C94" s="17">
        <v>25792.5</v>
      </c>
      <c r="D94" s="17">
        <v>2374356.0</v>
      </c>
      <c r="E94" s="17">
        <v>19.0</v>
      </c>
      <c r="F94" s="17">
        <v>1497.0</v>
      </c>
      <c r="G94" s="17">
        <v>1291.0</v>
      </c>
      <c r="H94" s="17">
        <v>18.0</v>
      </c>
      <c r="I94" s="17">
        <v>124966.1052631579</v>
      </c>
      <c r="J94" s="17">
        <f t="shared" si="1"/>
        <v>10</v>
      </c>
    </row>
    <row r="95">
      <c r="A95" s="16">
        <v>43963.0</v>
      </c>
      <c r="B95" s="17" t="s">
        <v>13</v>
      </c>
      <c r="C95" s="17">
        <v>26032.5</v>
      </c>
      <c r="D95" s="17">
        <v>2370432.0</v>
      </c>
      <c r="E95" s="17">
        <v>19.0</v>
      </c>
      <c r="F95" s="17">
        <v>1649.0</v>
      </c>
      <c r="G95" s="17">
        <v>1460.0</v>
      </c>
      <c r="H95" s="17">
        <v>20.0</v>
      </c>
      <c r="I95" s="17">
        <v>124759.57894736843</v>
      </c>
      <c r="J95" s="17">
        <f t="shared" si="1"/>
        <v>9</v>
      </c>
    </row>
    <row r="96">
      <c r="A96" s="16">
        <v>43972.0</v>
      </c>
      <c r="B96" s="17" t="s">
        <v>13</v>
      </c>
      <c r="C96" s="17">
        <v>31707.0</v>
      </c>
      <c r="D96" s="17">
        <v>2853181.5</v>
      </c>
      <c r="E96" s="17">
        <v>19.0</v>
      </c>
      <c r="F96" s="17">
        <v>1949.0</v>
      </c>
      <c r="G96" s="17">
        <v>1724.0</v>
      </c>
      <c r="H96" s="17">
        <v>21.0</v>
      </c>
      <c r="I96" s="17">
        <v>150167.44736842104</v>
      </c>
      <c r="J96" s="17">
        <f t="shared" si="1"/>
        <v>8</v>
      </c>
    </row>
    <row r="97">
      <c r="A97" s="16">
        <v>43971.0</v>
      </c>
      <c r="B97" s="17" t="s">
        <v>13</v>
      </c>
      <c r="C97" s="17">
        <v>29955.0</v>
      </c>
      <c r="D97" s="17">
        <v>2692230.0</v>
      </c>
      <c r="E97" s="17">
        <v>19.0</v>
      </c>
      <c r="F97" s="17">
        <v>1889.0</v>
      </c>
      <c r="G97" s="17">
        <v>1690.0</v>
      </c>
      <c r="H97" s="17">
        <v>21.0</v>
      </c>
      <c r="I97" s="17">
        <v>141696.31578947368</v>
      </c>
      <c r="J97" s="17">
        <f t="shared" si="1"/>
        <v>9</v>
      </c>
    </row>
    <row r="98">
      <c r="A98" s="16">
        <v>43956.0</v>
      </c>
      <c r="B98" s="17" t="s">
        <v>13</v>
      </c>
      <c r="C98" s="17">
        <v>22848.0</v>
      </c>
      <c r="D98" s="17">
        <v>2079900.0</v>
      </c>
      <c r="E98" s="17">
        <v>19.0</v>
      </c>
      <c r="F98" s="17">
        <v>1417.0</v>
      </c>
      <c r="G98" s="17">
        <v>1245.0</v>
      </c>
      <c r="H98" s="17">
        <v>19.0</v>
      </c>
      <c r="I98" s="17">
        <v>109468.42105263157</v>
      </c>
      <c r="J98" s="17">
        <f t="shared" si="1"/>
        <v>10</v>
      </c>
    </row>
    <row r="99">
      <c r="A99" s="16">
        <v>43949.0</v>
      </c>
      <c r="B99" s="17" t="s">
        <v>13</v>
      </c>
      <c r="C99" s="17">
        <v>23314.5</v>
      </c>
      <c r="D99" s="17">
        <v>2136817.5</v>
      </c>
      <c r="E99" s="17">
        <v>17.0</v>
      </c>
      <c r="F99" s="17">
        <v>1439.0</v>
      </c>
      <c r="G99" s="17">
        <v>1265.0</v>
      </c>
      <c r="H99" s="17">
        <v>18.0</v>
      </c>
      <c r="I99" s="17">
        <v>125695.14705882352</v>
      </c>
      <c r="J99" s="17">
        <f t="shared" si="1"/>
        <v>10</v>
      </c>
    </row>
    <row r="100">
      <c r="A100" s="16">
        <v>43964.0</v>
      </c>
      <c r="B100" s="17" t="s">
        <v>13</v>
      </c>
      <c r="C100" s="17">
        <v>26464.5</v>
      </c>
      <c r="D100" s="17">
        <v>2373337.5</v>
      </c>
      <c r="E100" s="17">
        <v>19.0</v>
      </c>
      <c r="F100" s="17">
        <v>1625.0</v>
      </c>
      <c r="G100" s="17">
        <v>1444.0</v>
      </c>
      <c r="H100" s="17">
        <v>20.0</v>
      </c>
      <c r="I100" s="17">
        <v>124912.5</v>
      </c>
      <c r="J100" s="17">
        <f t="shared" si="1"/>
        <v>9</v>
      </c>
    </row>
    <row r="101">
      <c r="A101" s="16">
        <v>43954.0</v>
      </c>
      <c r="B101" s="17" t="s">
        <v>13</v>
      </c>
      <c r="C101" s="17">
        <v>23539.5</v>
      </c>
      <c r="D101" s="17">
        <v>2170309.5</v>
      </c>
      <c r="E101" s="17">
        <v>19.0</v>
      </c>
      <c r="F101" s="17">
        <v>1402.0</v>
      </c>
      <c r="G101" s="17">
        <v>1234.0</v>
      </c>
      <c r="H101" s="17">
        <v>18.0</v>
      </c>
      <c r="I101" s="17">
        <v>114226.81578947368</v>
      </c>
      <c r="J101" s="17">
        <f t="shared" si="1"/>
        <v>9</v>
      </c>
    </row>
    <row r="102">
      <c r="A102" s="16">
        <v>43957.0</v>
      </c>
      <c r="B102" s="17" t="s">
        <v>13</v>
      </c>
      <c r="C102" s="17">
        <v>24678.0</v>
      </c>
      <c r="D102" s="17">
        <v>2232519.0</v>
      </c>
      <c r="E102" s="17">
        <v>19.0</v>
      </c>
      <c r="F102" s="17">
        <v>1499.0</v>
      </c>
      <c r="G102" s="17">
        <v>1323.0</v>
      </c>
      <c r="H102" s="17">
        <v>19.0</v>
      </c>
      <c r="I102" s="17">
        <v>117501.0</v>
      </c>
      <c r="J102" s="17">
        <f t="shared" si="1"/>
        <v>9</v>
      </c>
    </row>
    <row r="103">
      <c r="A103" s="16">
        <v>43974.0</v>
      </c>
      <c r="B103" s="17" t="s">
        <v>13</v>
      </c>
      <c r="C103" s="17">
        <v>38176.5</v>
      </c>
      <c r="D103" s="17">
        <v>3385372.5</v>
      </c>
      <c r="E103" s="17">
        <v>20.0</v>
      </c>
      <c r="F103" s="17">
        <v>2266.0</v>
      </c>
      <c r="G103" s="17">
        <v>1993.0</v>
      </c>
      <c r="H103" s="17">
        <v>21.0</v>
      </c>
      <c r="I103" s="17">
        <v>169268.625</v>
      </c>
      <c r="J103" s="17">
        <f t="shared" si="1"/>
        <v>9</v>
      </c>
    </row>
    <row r="104">
      <c r="A104" s="16">
        <v>43976.0</v>
      </c>
      <c r="B104" s="17" t="s">
        <v>13</v>
      </c>
      <c r="C104" s="17">
        <v>30603.0</v>
      </c>
      <c r="D104" s="17">
        <v>2865727.5</v>
      </c>
      <c r="E104" s="17">
        <v>20.0</v>
      </c>
      <c r="F104" s="17">
        <v>2011.0</v>
      </c>
      <c r="G104" s="17">
        <v>1791.0</v>
      </c>
      <c r="H104" s="17">
        <v>22.0</v>
      </c>
      <c r="I104" s="17">
        <v>143286.375</v>
      </c>
      <c r="J104" s="17">
        <f t="shared" si="1"/>
        <v>9</v>
      </c>
    </row>
    <row r="105">
      <c r="A105" s="16">
        <v>43951.0</v>
      </c>
      <c r="B105" s="17" t="s">
        <v>13</v>
      </c>
      <c r="C105" s="17">
        <v>24211.5</v>
      </c>
      <c r="D105" s="17">
        <v>2267664.0</v>
      </c>
      <c r="E105" s="17">
        <v>19.0</v>
      </c>
      <c r="F105" s="17">
        <v>1499.0</v>
      </c>
      <c r="G105" s="17">
        <v>1322.0</v>
      </c>
      <c r="H105" s="17">
        <v>18.0</v>
      </c>
      <c r="I105" s="17">
        <v>119350.73684210527</v>
      </c>
      <c r="J105" s="17">
        <f t="shared" si="1"/>
        <v>10</v>
      </c>
    </row>
    <row r="106">
      <c r="A106" s="16">
        <v>43961.0</v>
      </c>
      <c r="B106" s="17" t="s">
        <v>13</v>
      </c>
      <c r="C106" s="17">
        <v>31399.5</v>
      </c>
      <c r="D106" s="17">
        <v>2862298.5</v>
      </c>
      <c r="E106" s="17">
        <v>19.0</v>
      </c>
      <c r="F106" s="17">
        <v>1848.0</v>
      </c>
      <c r="G106" s="17">
        <v>1649.0</v>
      </c>
      <c r="H106" s="17">
        <v>19.0</v>
      </c>
      <c r="I106" s="17">
        <v>150647.2894736842</v>
      </c>
      <c r="J106" s="17">
        <f t="shared" si="1"/>
        <v>9</v>
      </c>
    </row>
    <row r="107">
      <c r="A107" s="16">
        <v>43959.0</v>
      </c>
      <c r="B107" s="17" t="s">
        <v>13</v>
      </c>
      <c r="C107" s="17">
        <v>25294.5</v>
      </c>
      <c r="D107" s="17">
        <v>2271454.5</v>
      </c>
      <c r="E107" s="17">
        <v>19.0</v>
      </c>
      <c r="F107" s="17">
        <v>1522.0</v>
      </c>
      <c r="G107" s="17">
        <v>1340.0</v>
      </c>
      <c r="H107" s="17">
        <v>19.0</v>
      </c>
      <c r="I107" s="17">
        <v>119550.23684210527</v>
      </c>
      <c r="J107" s="17">
        <f t="shared" si="1"/>
        <v>9</v>
      </c>
    </row>
    <row r="108">
      <c r="A108" s="16">
        <v>43958.0</v>
      </c>
      <c r="B108" s="17" t="s">
        <v>13</v>
      </c>
      <c r="C108" s="17">
        <v>25468.5</v>
      </c>
      <c r="D108" s="17">
        <v>2350672.5</v>
      </c>
      <c r="E108" s="17">
        <v>19.0</v>
      </c>
      <c r="F108" s="17">
        <v>1530.0</v>
      </c>
      <c r="G108" s="17">
        <v>1338.0</v>
      </c>
      <c r="H108" s="17">
        <v>19.0</v>
      </c>
      <c r="I108" s="17">
        <v>123719.6052631579</v>
      </c>
      <c r="J108" s="17">
        <f t="shared" si="1"/>
        <v>9</v>
      </c>
    </row>
    <row r="109">
      <c r="A109" s="16">
        <v>43975.0</v>
      </c>
      <c r="B109" s="17" t="s">
        <v>13</v>
      </c>
      <c r="C109" s="17">
        <v>31854.0</v>
      </c>
      <c r="D109" s="17">
        <v>2915533.5</v>
      </c>
      <c r="E109" s="17">
        <v>20.0</v>
      </c>
      <c r="F109" s="17">
        <v>2015.0</v>
      </c>
      <c r="G109" s="17">
        <v>1803.0</v>
      </c>
      <c r="H109" s="17">
        <v>21.0</v>
      </c>
      <c r="I109" s="17">
        <v>145776.675</v>
      </c>
      <c r="J109" s="17">
        <f t="shared" si="1"/>
        <v>9</v>
      </c>
    </row>
    <row r="110">
      <c r="A110" s="16">
        <v>43982.0</v>
      </c>
      <c r="B110" s="17" t="s">
        <v>13</v>
      </c>
      <c r="C110" s="17">
        <v>32359.5</v>
      </c>
      <c r="D110" s="17">
        <v>2991999.0</v>
      </c>
      <c r="E110" s="17">
        <v>20.0</v>
      </c>
      <c r="F110" s="17">
        <v>2060.0</v>
      </c>
      <c r="G110" s="17">
        <v>1826.0</v>
      </c>
      <c r="H110" s="17">
        <v>22.0</v>
      </c>
      <c r="I110" s="17">
        <v>149599.95</v>
      </c>
      <c r="J110" s="17">
        <f t="shared" si="1"/>
        <v>9</v>
      </c>
    </row>
    <row r="111">
      <c r="A111" s="16">
        <v>43981.0</v>
      </c>
      <c r="B111" s="17" t="s">
        <v>13</v>
      </c>
      <c r="C111" s="17">
        <v>39867.0</v>
      </c>
      <c r="D111" s="17">
        <v>3654166.5</v>
      </c>
      <c r="E111" s="17">
        <v>20.0</v>
      </c>
      <c r="F111" s="17">
        <v>2451.0</v>
      </c>
      <c r="G111" s="17">
        <v>2178.0</v>
      </c>
      <c r="H111" s="17">
        <v>22.0</v>
      </c>
      <c r="I111" s="17">
        <v>182708.325</v>
      </c>
      <c r="J111" s="17">
        <f t="shared" si="1"/>
        <v>9</v>
      </c>
    </row>
    <row r="112">
      <c r="A112" s="16">
        <v>43979.0</v>
      </c>
      <c r="B112" s="17" t="s">
        <v>13</v>
      </c>
      <c r="C112" s="17">
        <v>31974.0</v>
      </c>
      <c r="D112" s="17">
        <v>3004213.5</v>
      </c>
      <c r="E112" s="17">
        <v>20.0</v>
      </c>
      <c r="F112" s="17">
        <v>2088.0</v>
      </c>
      <c r="G112" s="17">
        <v>1848.0</v>
      </c>
      <c r="H112" s="17">
        <v>22.0</v>
      </c>
      <c r="I112" s="17">
        <v>150210.675</v>
      </c>
      <c r="J112" s="17">
        <f t="shared" si="1"/>
        <v>8</v>
      </c>
    </row>
    <row r="113">
      <c r="A113" s="16">
        <v>43967.0</v>
      </c>
      <c r="B113" s="17" t="s">
        <v>14</v>
      </c>
      <c r="C113" s="17">
        <v>321412.5</v>
      </c>
      <c r="D113" s="17">
        <v>3.2235864E7</v>
      </c>
      <c r="E113" s="17">
        <v>129.0</v>
      </c>
      <c r="F113" s="17">
        <v>17914.0</v>
      </c>
      <c r="G113" s="17">
        <v>16631.0</v>
      </c>
      <c r="H113" s="17">
        <v>20.0</v>
      </c>
      <c r="I113" s="17">
        <v>249890.41860465117</v>
      </c>
      <c r="J113" s="17">
        <f t="shared" si="1"/>
        <v>2</v>
      </c>
    </row>
    <row r="114">
      <c r="A114" s="16">
        <v>43970.0</v>
      </c>
      <c r="B114" s="17" t="s">
        <v>14</v>
      </c>
      <c r="C114" s="17">
        <v>276568.5</v>
      </c>
      <c r="D114" s="17">
        <v>2.7093624E7</v>
      </c>
      <c r="E114" s="17">
        <v>129.0</v>
      </c>
      <c r="F114" s="17">
        <v>16191.0</v>
      </c>
      <c r="G114" s="17">
        <v>15102.0</v>
      </c>
      <c r="H114" s="17">
        <v>21.0</v>
      </c>
      <c r="I114" s="17">
        <v>210028.09302325582</v>
      </c>
      <c r="J114" s="17">
        <f t="shared" si="1"/>
        <v>2</v>
      </c>
    </row>
    <row r="115">
      <c r="A115" s="16">
        <v>43968.0</v>
      </c>
      <c r="B115" s="17" t="s">
        <v>14</v>
      </c>
      <c r="C115" s="17">
        <v>269029.5</v>
      </c>
      <c r="D115" s="17">
        <v>2.66599305E7</v>
      </c>
      <c r="E115" s="17">
        <v>129.0</v>
      </c>
      <c r="F115" s="17">
        <v>15744.0</v>
      </c>
      <c r="G115" s="17">
        <v>14685.0</v>
      </c>
      <c r="H115" s="17">
        <v>20.0</v>
      </c>
      <c r="I115" s="17">
        <v>206666.12790697673</v>
      </c>
      <c r="J115" s="17">
        <f t="shared" si="1"/>
        <v>2</v>
      </c>
    </row>
    <row r="116">
      <c r="A116" s="16">
        <v>43960.0</v>
      </c>
      <c r="B116" s="17" t="s">
        <v>14</v>
      </c>
      <c r="C116" s="17">
        <v>285972.0</v>
      </c>
      <c r="D116" s="17">
        <v>2.9768199E7</v>
      </c>
      <c r="E116" s="17">
        <v>129.0</v>
      </c>
      <c r="F116" s="17">
        <v>16420.0</v>
      </c>
      <c r="G116" s="17">
        <v>15169.0</v>
      </c>
      <c r="H116" s="17">
        <v>19.0</v>
      </c>
      <c r="I116" s="17">
        <v>230761.23255813954</v>
      </c>
      <c r="J116" s="17">
        <f t="shared" si="1"/>
        <v>2</v>
      </c>
    </row>
    <row r="117">
      <c r="A117" s="16">
        <v>43955.0</v>
      </c>
      <c r="B117" s="17" t="s">
        <v>14</v>
      </c>
      <c r="C117" s="17">
        <v>283942.5</v>
      </c>
      <c r="D117" s="17">
        <v>2.935794E7</v>
      </c>
      <c r="E117" s="17">
        <v>129.0</v>
      </c>
      <c r="F117" s="17">
        <v>16525.0</v>
      </c>
      <c r="G117" s="17">
        <v>15310.0</v>
      </c>
      <c r="H117" s="17">
        <v>19.0</v>
      </c>
      <c r="I117" s="17">
        <v>227580.93023255814</v>
      </c>
      <c r="J117" s="17">
        <f t="shared" si="1"/>
        <v>2</v>
      </c>
    </row>
    <row r="118">
      <c r="A118" s="16">
        <v>43950.0</v>
      </c>
      <c r="B118" s="17" t="s">
        <v>14</v>
      </c>
      <c r="C118" s="17">
        <v>298059.0</v>
      </c>
      <c r="D118" s="17">
        <v>3.08692875E7</v>
      </c>
      <c r="E118" s="17">
        <v>128.0</v>
      </c>
      <c r="F118" s="17">
        <v>17368.0</v>
      </c>
      <c r="G118" s="17">
        <v>16077.0</v>
      </c>
      <c r="H118" s="17">
        <v>18.0</v>
      </c>
      <c r="I118" s="17">
        <v>241166.30859375</v>
      </c>
      <c r="J118" s="17">
        <f t="shared" si="1"/>
        <v>2</v>
      </c>
    </row>
    <row r="119">
      <c r="A119" s="16">
        <v>43953.0</v>
      </c>
      <c r="B119" s="17" t="s">
        <v>14</v>
      </c>
      <c r="C119" s="17">
        <v>232903.5</v>
      </c>
      <c r="D119" s="17">
        <v>2.43420165E7</v>
      </c>
      <c r="E119" s="17">
        <v>129.0</v>
      </c>
      <c r="F119" s="17">
        <v>14009.0</v>
      </c>
      <c r="G119" s="17">
        <v>12920.0</v>
      </c>
      <c r="H119" s="17">
        <v>18.0</v>
      </c>
      <c r="I119" s="17">
        <v>188697.8023255814</v>
      </c>
      <c r="J119" s="17">
        <f t="shared" si="1"/>
        <v>2</v>
      </c>
    </row>
    <row r="120">
      <c r="A120" s="16">
        <v>43977.0</v>
      </c>
      <c r="B120" s="17" t="s">
        <v>14</v>
      </c>
      <c r="C120" s="17">
        <v>276966.0</v>
      </c>
      <c r="D120" s="17">
        <v>2.787261789885E7</v>
      </c>
      <c r="E120" s="17">
        <v>129.0</v>
      </c>
      <c r="F120" s="17">
        <v>16459.0</v>
      </c>
      <c r="G120" s="17">
        <v>15355.0</v>
      </c>
      <c r="H120" s="17">
        <v>22.0</v>
      </c>
      <c r="I120" s="17">
        <v>216066.80541744188</v>
      </c>
      <c r="J120" s="17">
        <f t="shared" si="1"/>
        <v>2</v>
      </c>
    </row>
    <row r="121">
      <c r="A121" s="16">
        <v>43952.0</v>
      </c>
      <c r="B121" s="17" t="s">
        <v>14</v>
      </c>
      <c r="C121" s="17">
        <v>296149.5</v>
      </c>
      <c r="D121" s="17">
        <v>3.10533165E7</v>
      </c>
      <c r="E121" s="17">
        <v>129.0</v>
      </c>
      <c r="F121" s="17">
        <v>17002.0</v>
      </c>
      <c r="G121" s="17">
        <v>15570.0</v>
      </c>
      <c r="H121" s="17">
        <v>18.0</v>
      </c>
      <c r="I121" s="17">
        <v>240723.38372093023</v>
      </c>
      <c r="J121" s="17">
        <f t="shared" si="1"/>
        <v>2</v>
      </c>
    </row>
    <row r="122">
      <c r="A122" s="16">
        <v>43963.0</v>
      </c>
      <c r="B122" s="17" t="s">
        <v>14</v>
      </c>
      <c r="C122" s="17">
        <v>281796.0</v>
      </c>
      <c r="D122" s="17">
        <v>2.904252E7</v>
      </c>
      <c r="E122" s="17">
        <v>129.0</v>
      </c>
      <c r="F122" s="17">
        <v>16387.0</v>
      </c>
      <c r="G122" s="17">
        <v>15322.0</v>
      </c>
      <c r="H122" s="17">
        <v>20.0</v>
      </c>
      <c r="I122" s="17">
        <v>225135.81395348837</v>
      </c>
      <c r="J122" s="17">
        <f t="shared" si="1"/>
        <v>2</v>
      </c>
    </row>
    <row r="123">
      <c r="A123" s="16">
        <v>43972.0</v>
      </c>
      <c r="B123" s="17" t="s">
        <v>14</v>
      </c>
      <c r="C123" s="17">
        <v>288936.0</v>
      </c>
      <c r="D123" s="17">
        <v>2.78529E7</v>
      </c>
      <c r="E123" s="17">
        <v>129.0</v>
      </c>
      <c r="F123" s="17">
        <v>16373.0</v>
      </c>
      <c r="G123" s="17">
        <v>15223.0</v>
      </c>
      <c r="H123" s="17">
        <v>21.0</v>
      </c>
      <c r="I123" s="17">
        <v>215913.9534883721</v>
      </c>
      <c r="J123" s="17">
        <f t="shared" si="1"/>
        <v>2</v>
      </c>
    </row>
    <row r="124">
      <c r="A124" s="16">
        <v>43971.0</v>
      </c>
      <c r="B124" s="17" t="s">
        <v>14</v>
      </c>
      <c r="C124" s="17">
        <v>300151.5</v>
      </c>
      <c r="D124" s="17">
        <v>2.936877161745E7</v>
      </c>
      <c r="E124" s="17">
        <v>129.0</v>
      </c>
      <c r="F124" s="17">
        <v>17095.0</v>
      </c>
      <c r="G124" s="17">
        <v>15919.0</v>
      </c>
      <c r="H124" s="17">
        <v>21.0</v>
      </c>
      <c r="I124" s="17">
        <v>227664.8962593023</v>
      </c>
      <c r="J124" s="17">
        <f t="shared" si="1"/>
        <v>2</v>
      </c>
    </row>
    <row r="125">
      <c r="A125" s="16">
        <v>43956.0</v>
      </c>
      <c r="B125" s="17" t="s">
        <v>14</v>
      </c>
      <c r="C125" s="17">
        <v>262734.0</v>
      </c>
      <c r="D125" s="17">
        <v>2.7278441145E7</v>
      </c>
      <c r="E125" s="17">
        <v>129.0</v>
      </c>
      <c r="F125" s="17">
        <v>15665.0</v>
      </c>
      <c r="G125" s="17">
        <v>14501.0</v>
      </c>
      <c r="H125" s="17">
        <v>19.0</v>
      </c>
      <c r="I125" s="17">
        <v>211460.78406976743</v>
      </c>
      <c r="J125" s="17">
        <f t="shared" si="1"/>
        <v>2</v>
      </c>
    </row>
    <row r="126">
      <c r="A126" s="16">
        <v>43949.0</v>
      </c>
      <c r="B126" s="17" t="s">
        <v>14</v>
      </c>
      <c r="C126" s="17">
        <v>286002.0</v>
      </c>
      <c r="D126" s="17">
        <v>2.91590325E7</v>
      </c>
      <c r="E126" s="17">
        <v>128.0</v>
      </c>
      <c r="F126" s="17">
        <v>16450.0</v>
      </c>
      <c r="G126" s="17">
        <v>15320.0</v>
      </c>
      <c r="H126" s="17">
        <v>18.0</v>
      </c>
      <c r="I126" s="17">
        <v>227804.94140625</v>
      </c>
      <c r="J126" s="17">
        <f t="shared" si="1"/>
        <v>2</v>
      </c>
    </row>
    <row r="127">
      <c r="A127" s="16">
        <v>43964.0</v>
      </c>
      <c r="B127" s="17" t="s">
        <v>14</v>
      </c>
      <c r="C127" s="17">
        <v>258459.0</v>
      </c>
      <c r="D127" s="17">
        <v>2.64674535E7</v>
      </c>
      <c r="E127" s="17">
        <v>129.0</v>
      </c>
      <c r="F127" s="17">
        <v>15304.0</v>
      </c>
      <c r="G127" s="17">
        <v>14315.0</v>
      </c>
      <c r="H127" s="17">
        <v>20.0</v>
      </c>
      <c r="I127" s="17">
        <v>205174.05813953487</v>
      </c>
      <c r="J127" s="17">
        <f t="shared" si="1"/>
        <v>2</v>
      </c>
    </row>
    <row r="128">
      <c r="A128" s="16">
        <v>43954.0</v>
      </c>
      <c r="B128" s="17" t="s">
        <v>14</v>
      </c>
      <c r="C128" s="17">
        <v>274083.0</v>
      </c>
      <c r="D128" s="17">
        <v>2.8427001E7</v>
      </c>
      <c r="E128" s="17">
        <v>129.0</v>
      </c>
      <c r="F128" s="17">
        <v>15778.0</v>
      </c>
      <c r="G128" s="17">
        <v>14624.0</v>
      </c>
      <c r="H128" s="17">
        <v>18.0</v>
      </c>
      <c r="I128" s="17">
        <v>220364.3488372093</v>
      </c>
      <c r="J128" s="17">
        <f t="shared" si="1"/>
        <v>2</v>
      </c>
    </row>
    <row r="129">
      <c r="A129" s="16">
        <v>43957.0</v>
      </c>
      <c r="B129" s="17" t="s">
        <v>14</v>
      </c>
      <c r="C129" s="17">
        <v>277512.0</v>
      </c>
      <c r="D129" s="17">
        <v>2.87708101056E7</v>
      </c>
      <c r="E129" s="17">
        <v>129.0</v>
      </c>
      <c r="F129" s="17">
        <v>16376.0</v>
      </c>
      <c r="G129" s="17">
        <v>15197.0</v>
      </c>
      <c r="H129" s="17">
        <v>19.0</v>
      </c>
      <c r="I129" s="17">
        <v>223029.53570232558</v>
      </c>
      <c r="J129" s="17">
        <f t="shared" si="1"/>
        <v>2</v>
      </c>
    </row>
    <row r="130">
      <c r="A130" s="16">
        <v>43974.0</v>
      </c>
      <c r="B130" s="17" t="s">
        <v>14</v>
      </c>
      <c r="C130" s="17">
        <v>356982.0</v>
      </c>
      <c r="D130" s="17">
        <v>3.510392671155E7</v>
      </c>
      <c r="E130" s="17">
        <v>129.0</v>
      </c>
      <c r="F130" s="17">
        <v>19856.0</v>
      </c>
      <c r="G130" s="17">
        <v>18325.0</v>
      </c>
      <c r="H130" s="17">
        <v>21.0</v>
      </c>
      <c r="I130" s="17">
        <v>272123.46288023255</v>
      </c>
      <c r="J130" s="17">
        <f t="shared" si="1"/>
        <v>2</v>
      </c>
    </row>
    <row r="131">
      <c r="A131" s="16">
        <v>43976.0</v>
      </c>
      <c r="B131" s="17" t="s">
        <v>14</v>
      </c>
      <c r="C131" s="17">
        <v>266983.5</v>
      </c>
      <c r="D131" s="17">
        <v>2.71659135E7</v>
      </c>
      <c r="E131" s="17">
        <v>129.0</v>
      </c>
      <c r="F131" s="17">
        <v>15822.0</v>
      </c>
      <c r="G131" s="17">
        <v>14753.0</v>
      </c>
      <c r="H131" s="17">
        <v>22.0</v>
      </c>
      <c r="I131" s="17">
        <v>210588.47674418605</v>
      </c>
      <c r="J131" s="17">
        <f t="shared" si="1"/>
        <v>2</v>
      </c>
    </row>
    <row r="132">
      <c r="A132" s="16">
        <v>43951.0</v>
      </c>
      <c r="B132" s="17" t="s">
        <v>14</v>
      </c>
      <c r="C132" s="17">
        <v>311131.5</v>
      </c>
      <c r="D132" s="17">
        <v>3.2418879E7</v>
      </c>
      <c r="E132" s="17">
        <v>129.0</v>
      </c>
      <c r="F132" s="17">
        <v>18042.0</v>
      </c>
      <c r="G132" s="17">
        <v>16631.0</v>
      </c>
      <c r="H132" s="17">
        <v>18.0</v>
      </c>
      <c r="I132" s="17">
        <v>251309.13953488372</v>
      </c>
      <c r="J132" s="17">
        <f t="shared" si="1"/>
        <v>2</v>
      </c>
    </row>
    <row r="133">
      <c r="A133" s="16">
        <v>43961.0</v>
      </c>
      <c r="B133" s="17" t="s">
        <v>14</v>
      </c>
      <c r="C133" s="17">
        <v>287206.5</v>
      </c>
      <c r="D133" s="17">
        <v>2.953617610605E7</v>
      </c>
      <c r="E133" s="17">
        <v>129.0</v>
      </c>
      <c r="F133" s="17">
        <v>16437.0</v>
      </c>
      <c r="G133" s="17">
        <v>15285.0</v>
      </c>
      <c r="H133" s="17">
        <v>19.0</v>
      </c>
      <c r="I133" s="17">
        <v>228962.6054732558</v>
      </c>
      <c r="J133" s="17">
        <f t="shared" si="1"/>
        <v>2</v>
      </c>
    </row>
    <row r="134">
      <c r="A134" s="16">
        <v>43959.0</v>
      </c>
      <c r="B134" s="17" t="s">
        <v>14</v>
      </c>
      <c r="C134" s="17">
        <v>370092.0</v>
      </c>
      <c r="D134" s="17">
        <v>3.80915565E7</v>
      </c>
      <c r="E134" s="17">
        <v>129.0</v>
      </c>
      <c r="F134" s="17">
        <v>20452.0</v>
      </c>
      <c r="G134" s="17">
        <v>18857.0</v>
      </c>
      <c r="H134" s="17">
        <v>19.0</v>
      </c>
      <c r="I134" s="17">
        <v>295283.38372093026</v>
      </c>
      <c r="J134" s="17">
        <f t="shared" si="1"/>
        <v>2</v>
      </c>
    </row>
    <row r="135">
      <c r="A135" s="16">
        <v>43958.0</v>
      </c>
      <c r="B135" s="17" t="s">
        <v>14</v>
      </c>
      <c r="C135" s="17">
        <v>247813.5</v>
      </c>
      <c r="D135" s="17">
        <v>2.5325271E7</v>
      </c>
      <c r="E135" s="17">
        <v>129.0</v>
      </c>
      <c r="F135" s="17">
        <v>14582.0</v>
      </c>
      <c r="G135" s="17">
        <v>13512.0</v>
      </c>
      <c r="H135" s="17">
        <v>19.0</v>
      </c>
      <c r="I135" s="17">
        <v>196319.93023255814</v>
      </c>
      <c r="J135" s="17">
        <f t="shared" si="1"/>
        <v>2</v>
      </c>
    </row>
    <row r="136">
      <c r="A136" s="16">
        <v>43975.0</v>
      </c>
      <c r="B136" s="17" t="s">
        <v>14</v>
      </c>
      <c r="C136" s="17">
        <v>287740.5</v>
      </c>
      <c r="D136" s="17">
        <v>2.8188534E7</v>
      </c>
      <c r="E136" s="17">
        <v>129.0</v>
      </c>
      <c r="F136" s="17">
        <v>16432.0</v>
      </c>
      <c r="G136" s="17">
        <v>15345.0</v>
      </c>
      <c r="H136" s="17">
        <v>21.0</v>
      </c>
      <c r="I136" s="17">
        <v>218515.76744186046</v>
      </c>
      <c r="J136" s="17">
        <f t="shared" si="1"/>
        <v>2</v>
      </c>
    </row>
    <row r="137">
      <c r="A137" s="16">
        <v>43967.0</v>
      </c>
      <c r="B137" s="17" t="s">
        <v>15</v>
      </c>
      <c r="C137" s="17">
        <v>408810.0</v>
      </c>
      <c r="D137" s="17">
        <v>4.2323631E7</v>
      </c>
      <c r="E137" s="17">
        <v>125.0</v>
      </c>
      <c r="F137" s="17">
        <v>22291.0</v>
      </c>
      <c r="G137" s="17">
        <v>20635.0</v>
      </c>
      <c r="H137" s="17">
        <v>20.0</v>
      </c>
      <c r="I137" s="17">
        <v>338589.048</v>
      </c>
      <c r="J137" s="17">
        <f t="shared" si="1"/>
        <v>1</v>
      </c>
    </row>
    <row r="138">
      <c r="A138" s="16">
        <v>43970.0</v>
      </c>
      <c r="B138" s="17" t="s">
        <v>15</v>
      </c>
      <c r="C138" s="17">
        <v>362536.5</v>
      </c>
      <c r="D138" s="17">
        <v>3.7023243E7</v>
      </c>
      <c r="E138" s="17">
        <v>125.0</v>
      </c>
      <c r="F138" s="17">
        <v>20771.0</v>
      </c>
      <c r="G138" s="17">
        <v>19338.0</v>
      </c>
      <c r="H138" s="17">
        <v>21.0</v>
      </c>
      <c r="I138" s="17">
        <v>296185.944</v>
      </c>
      <c r="J138" s="17">
        <f t="shared" si="1"/>
        <v>1</v>
      </c>
    </row>
    <row r="139">
      <c r="A139" s="16">
        <v>43968.0</v>
      </c>
      <c r="B139" s="17" t="s">
        <v>15</v>
      </c>
      <c r="C139" s="17">
        <v>357072.0</v>
      </c>
      <c r="D139" s="17">
        <v>3.6834567E7</v>
      </c>
      <c r="E139" s="17">
        <v>125.0</v>
      </c>
      <c r="F139" s="17">
        <v>20079.0</v>
      </c>
      <c r="G139" s="17">
        <v>18721.0</v>
      </c>
      <c r="H139" s="17">
        <v>20.0</v>
      </c>
      <c r="I139" s="17">
        <v>294676.536</v>
      </c>
      <c r="J139" s="17">
        <f t="shared" si="1"/>
        <v>1</v>
      </c>
    </row>
    <row r="140">
      <c r="A140" s="16">
        <v>43960.0</v>
      </c>
      <c r="B140" s="17" t="s">
        <v>15</v>
      </c>
      <c r="C140" s="17">
        <v>359214.0</v>
      </c>
      <c r="D140" s="17">
        <v>3.8693427E7</v>
      </c>
      <c r="E140" s="17">
        <v>125.0</v>
      </c>
      <c r="F140" s="17">
        <v>20132.0</v>
      </c>
      <c r="G140" s="17">
        <v>18617.0</v>
      </c>
      <c r="H140" s="17">
        <v>19.0</v>
      </c>
      <c r="I140" s="17">
        <v>309547.416</v>
      </c>
      <c r="J140" s="17">
        <f t="shared" si="1"/>
        <v>1</v>
      </c>
    </row>
    <row r="141">
      <c r="A141" s="16">
        <v>43955.0</v>
      </c>
      <c r="B141" s="17" t="s">
        <v>15</v>
      </c>
      <c r="C141" s="17">
        <v>360255.0</v>
      </c>
      <c r="D141" s="17">
        <v>3.8406954E7</v>
      </c>
      <c r="E141" s="17">
        <v>125.0</v>
      </c>
      <c r="F141" s="17">
        <v>20495.0</v>
      </c>
      <c r="G141" s="17">
        <v>18964.0</v>
      </c>
      <c r="H141" s="17">
        <v>19.0</v>
      </c>
      <c r="I141" s="17">
        <v>307255.632</v>
      </c>
      <c r="J141" s="17">
        <f t="shared" si="1"/>
        <v>1</v>
      </c>
    </row>
    <row r="142">
      <c r="A142" s="16">
        <v>43950.0</v>
      </c>
      <c r="B142" s="17" t="s">
        <v>15</v>
      </c>
      <c r="C142" s="17">
        <v>387220.5</v>
      </c>
      <c r="D142" s="17">
        <v>4.1559384E7</v>
      </c>
      <c r="E142" s="17">
        <v>125.0</v>
      </c>
      <c r="F142" s="17">
        <v>21863.0</v>
      </c>
      <c r="G142" s="17">
        <v>20160.0</v>
      </c>
      <c r="H142" s="17">
        <v>18.0</v>
      </c>
      <c r="I142" s="17">
        <v>332475.072</v>
      </c>
      <c r="J142" s="17">
        <f t="shared" si="1"/>
        <v>1</v>
      </c>
    </row>
    <row r="143">
      <c r="A143" s="16">
        <v>43953.0</v>
      </c>
      <c r="B143" s="17" t="s">
        <v>15</v>
      </c>
      <c r="C143" s="17">
        <v>296580.0</v>
      </c>
      <c r="D143" s="17">
        <v>3.1843737E7</v>
      </c>
      <c r="E143" s="17">
        <v>125.0</v>
      </c>
      <c r="F143" s="17">
        <v>16932.0</v>
      </c>
      <c r="G143" s="17">
        <v>15601.0</v>
      </c>
      <c r="H143" s="17">
        <v>18.0</v>
      </c>
      <c r="I143" s="17">
        <v>254749.896</v>
      </c>
      <c r="J143" s="17">
        <f t="shared" si="1"/>
        <v>1</v>
      </c>
    </row>
    <row r="144">
      <c r="A144" s="16">
        <v>43977.0</v>
      </c>
      <c r="B144" s="17" t="s">
        <v>15</v>
      </c>
      <c r="C144" s="17">
        <v>369861.0</v>
      </c>
      <c r="D144" s="17">
        <v>3.83659605E7</v>
      </c>
      <c r="E144" s="17">
        <v>124.0</v>
      </c>
      <c r="F144" s="17">
        <v>21153.0</v>
      </c>
      <c r="G144" s="17">
        <v>19673.0</v>
      </c>
      <c r="H144" s="17">
        <v>22.0</v>
      </c>
      <c r="I144" s="17">
        <v>309402.90725806454</v>
      </c>
      <c r="J144" s="17">
        <f t="shared" si="1"/>
        <v>1</v>
      </c>
    </row>
    <row r="145">
      <c r="A145" s="16">
        <v>43952.0</v>
      </c>
      <c r="B145" s="17" t="s">
        <v>15</v>
      </c>
      <c r="C145" s="17">
        <v>372504.0</v>
      </c>
      <c r="D145" s="17">
        <v>4.00771935E7</v>
      </c>
      <c r="E145" s="17">
        <v>125.0</v>
      </c>
      <c r="F145" s="17">
        <v>20602.0</v>
      </c>
      <c r="G145" s="17">
        <v>18845.0</v>
      </c>
      <c r="H145" s="17">
        <v>18.0</v>
      </c>
      <c r="I145" s="17">
        <v>320617.548</v>
      </c>
      <c r="J145" s="17">
        <f t="shared" si="1"/>
        <v>1</v>
      </c>
    </row>
    <row r="146">
      <c r="A146" s="16">
        <v>43963.0</v>
      </c>
      <c r="B146" s="17" t="s">
        <v>15</v>
      </c>
      <c r="C146" s="17">
        <v>373392.0</v>
      </c>
      <c r="D146" s="17">
        <v>3.9578577E7</v>
      </c>
      <c r="E146" s="17">
        <v>125.0</v>
      </c>
      <c r="F146" s="17">
        <v>21106.0</v>
      </c>
      <c r="G146" s="17">
        <v>19651.0</v>
      </c>
      <c r="H146" s="17">
        <v>20.0</v>
      </c>
      <c r="I146" s="17">
        <v>316628.616</v>
      </c>
      <c r="J146" s="17">
        <f t="shared" si="1"/>
        <v>1</v>
      </c>
    </row>
    <row r="147">
      <c r="A147" s="16">
        <v>43972.0</v>
      </c>
      <c r="B147" s="17" t="s">
        <v>15</v>
      </c>
      <c r="C147" s="17">
        <v>378043.5</v>
      </c>
      <c r="D147" s="17">
        <v>3.790215657E7</v>
      </c>
      <c r="E147" s="17">
        <v>125.0</v>
      </c>
      <c r="F147" s="17">
        <v>20911.0</v>
      </c>
      <c r="G147" s="17">
        <v>19358.0</v>
      </c>
      <c r="H147" s="17">
        <v>21.0</v>
      </c>
      <c r="I147" s="17">
        <v>303217.25256</v>
      </c>
      <c r="J147" s="17">
        <f t="shared" si="1"/>
        <v>1</v>
      </c>
    </row>
    <row r="148">
      <c r="A148" s="16">
        <v>43971.0</v>
      </c>
      <c r="B148" s="17" t="s">
        <v>15</v>
      </c>
      <c r="C148" s="17">
        <v>388668.0</v>
      </c>
      <c r="D148" s="17">
        <v>3.9639309E7</v>
      </c>
      <c r="E148" s="17">
        <v>125.0</v>
      </c>
      <c r="F148" s="17">
        <v>21674.0</v>
      </c>
      <c r="G148" s="17">
        <v>20155.0</v>
      </c>
      <c r="H148" s="17">
        <v>21.0</v>
      </c>
      <c r="I148" s="17">
        <v>317114.472</v>
      </c>
      <c r="J148" s="17">
        <f t="shared" si="1"/>
        <v>1</v>
      </c>
    </row>
    <row r="149">
      <c r="A149" s="16">
        <v>43956.0</v>
      </c>
      <c r="B149" s="17" t="s">
        <v>15</v>
      </c>
      <c r="C149" s="17">
        <v>333792.0</v>
      </c>
      <c r="D149" s="17">
        <v>3.5671734E7</v>
      </c>
      <c r="E149" s="17">
        <v>125.0</v>
      </c>
      <c r="F149" s="17">
        <v>18944.0</v>
      </c>
      <c r="G149" s="17">
        <v>17541.0</v>
      </c>
      <c r="H149" s="17">
        <v>19.0</v>
      </c>
      <c r="I149" s="17">
        <v>285373.872</v>
      </c>
      <c r="J149" s="17">
        <f t="shared" si="1"/>
        <v>1</v>
      </c>
    </row>
    <row r="150">
      <c r="A150" s="16">
        <v>43949.0</v>
      </c>
      <c r="B150" s="17" t="s">
        <v>15</v>
      </c>
      <c r="C150" s="17">
        <v>376060.5</v>
      </c>
      <c r="D150" s="17">
        <v>3.99180285E7</v>
      </c>
      <c r="E150" s="17">
        <v>125.0</v>
      </c>
      <c r="F150" s="17">
        <v>20914.0</v>
      </c>
      <c r="G150" s="17">
        <v>19479.0</v>
      </c>
      <c r="H150" s="17">
        <v>18.0</v>
      </c>
      <c r="I150" s="17">
        <v>319344.228</v>
      </c>
      <c r="J150" s="17">
        <f t="shared" si="1"/>
        <v>1</v>
      </c>
    </row>
    <row r="151">
      <c r="A151" s="16">
        <v>43964.0</v>
      </c>
      <c r="B151" s="17" t="s">
        <v>15</v>
      </c>
      <c r="C151" s="17">
        <v>350068.5</v>
      </c>
      <c r="D151" s="17">
        <v>3.71971155E7</v>
      </c>
      <c r="E151" s="17">
        <v>125.0</v>
      </c>
      <c r="F151" s="17">
        <v>19965.0</v>
      </c>
      <c r="G151" s="17">
        <v>18573.0</v>
      </c>
      <c r="H151" s="17">
        <v>20.0</v>
      </c>
      <c r="I151" s="17">
        <v>297576.924</v>
      </c>
      <c r="J151" s="17">
        <f t="shared" si="1"/>
        <v>1</v>
      </c>
    </row>
    <row r="152">
      <c r="A152" s="16">
        <v>43982.0</v>
      </c>
      <c r="B152" s="17" t="s">
        <v>14</v>
      </c>
      <c r="C152" s="17">
        <v>294337.5</v>
      </c>
      <c r="D152" s="17">
        <v>2.9327766E7</v>
      </c>
      <c r="E152" s="17">
        <v>129.0</v>
      </c>
      <c r="F152" s="17">
        <v>17235.0</v>
      </c>
      <c r="G152" s="17">
        <v>16052.0</v>
      </c>
      <c r="H152" s="17">
        <v>22.0</v>
      </c>
      <c r="I152" s="17">
        <v>227347.02325581395</v>
      </c>
      <c r="J152" s="17">
        <f t="shared" si="1"/>
        <v>2</v>
      </c>
    </row>
    <row r="153">
      <c r="A153" s="16">
        <v>43954.0</v>
      </c>
      <c r="B153" s="17" t="s">
        <v>15</v>
      </c>
      <c r="C153" s="17">
        <v>342666.0</v>
      </c>
      <c r="D153" s="17">
        <v>3.66319995E7</v>
      </c>
      <c r="E153" s="17">
        <v>125.0</v>
      </c>
      <c r="F153" s="17">
        <v>18861.0</v>
      </c>
      <c r="G153" s="17">
        <v>17420.0</v>
      </c>
      <c r="H153" s="17">
        <v>18.0</v>
      </c>
      <c r="I153" s="17">
        <v>293055.996</v>
      </c>
      <c r="J153" s="17">
        <f t="shared" si="1"/>
        <v>1</v>
      </c>
    </row>
    <row r="154">
      <c r="A154" s="16">
        <v>43981.0</v>
      </c>
      <c r="B154" s="17" t="s">
        <v>14</v>
      </c>
      <c r="C154" s="17">
        <v>364882.5</v>
      </c>
      <c r="D154" s="17">
        <v>3.57244935E7</v>
      </c>
      <c r="E154" s="17">
        <v>129.0</v>
      </c>
      <c r="F154" s="17">
        <v>20243.0</v>
      </c>
      <c r="G154" s="17">
        <v>18711.0</v>
      </c>
      <c r="H154" s="17">
        <v>22.0</v>
      </c>
      <c r="I154" s="17">
        <v>276934.0581395349</v>
      </c>
      <c r="J154" s="17">
        <f t="shared" si="1"/>
        <v>2</v>
      </c>
    </row>
    <row r="155">
      <c r="A155" s="16">
        <v>43957.0</v>
      </c>
      <c r="B155" s="17" t="s">
        <v>15</v>
      </c>
      <c r="C155" s="17">
        <v>355278.0</v>
      </c>
      <c r="D155" s="17">
        <v>3.8092344E7</v>
      </c>
      <c r="E155" s="17">
        <v>125.0</v>
      </c>
      <c r="F155" s="17">
        <v>20218.0</v>
      </c>
      <c r="G155" s="17">
        <v>18647.0</v>
      </c>
      <c r="H155" s="17">
        <v>19.0</v>
      </c>
      <c r="I155" s="17">
        <v>304738.752</v>
      </c>
      <c r="J155" s="17">
        <f t="shared" si="1"/>
        <v>1</v>
      </c>
    </row>
    <row r="156">
      <c r="A156" s="16">
        <v>43974.0</v>
      </c>
      <c r="B156" s="17" t="s">
        <v>15</v>
      </c>
      <c r="C156" s="17">
        <v>456885.0</v>
      </c>
      <c r="D156" s="17">
        <v>4.640808E7</v>
      </c>
      <c r="E156" s="17">
        <v>125.0</v>
      </c>
      <c r="F156" s="17">
        <v>24574.0</v>
      </c>
      <c r="G156" s="17">
        <v>22609.0</v>
      </c>
      <c r="H156" s="17">
        <v>21.0</v>
      </c>
      <c r="I156" s="17">
        <v>371264.64</v>
      </c>
      <c r="J156" s="17">
        <f t="shared" si="1"/>
        <v>1</v>
      </c>
    </row>
    <row r="157">
      <c r="A157" s="16">
        <v>43979.0</v>
      </c>
      <c r="B157" s="17" t="s">
        <v>14</v>
      </c>
      <c r="C157" s="17">
        <v>278491.5</v>
      </c>
      <c r="D157" s="17">
        <v>2.815100475E7</v>
      </c>
      <c r="E157" s="17">
        <v>129.0</v>
      </c>
      <c r="F157" s="17">
        <v>16453.0</v>
      </c>
      <c r="G157" s="17">
        <v>15289.0</v>
      </c>
      <c r="H157" s="17">
        <v>22.0</v>
      </c>
      <c r="I157" s="17">
        <v>218224.84302325582</v>
      </c>
      <c r="J157" s="17">
        <f t="shared" si="1"/>
        <v>2</v>
      </c>
    </row>
    <row r="158">
      <c r="A158" s="16">
        <v>43976.0</v>
      </c>
      <c r="B158" s="17" t="s">
        <v>15</v>
      </c>
      <c r="C158" s="17">
        <v>349734.0</v>
      </c>
      <c r="D158" s="17">
        <v>3.6883428E7</v>
      </c>
      <c r="E158" s="17">
        <v>124.0</v>
      </c>
      <c r="F158" s="17">
        <v>20358.0</v>
      </c>
      <c r="G158" s="17">
        <v>18890.0</v>
      </c>
      <c r="H158" s="17">
        <v>22.0</v>
      </c>
      <c r="I158" s="17">
        <v>297447.0</v>
      </c>
      <c r="J158" s="17">
        <f t="shared" si="1"/>
        <v>1</v>
      </c>
    </row>
    <row r="159">
      <c r="A159" s="16">
        <v>43951.0</v>
      </c>
      <c r="B159" s="17" t="s">
        <v>15</v>
      </c>
      <c r="C159" s="17">
        <v>401580.0</v>
      </c>
      <c r="D159" s="17">
        <v>4.30287345E7</v>
      </c>
      <c r="E159" s="17">
        <v>125.0</v>
      </c>
      <c r="F159" s="17">
        <v>22368.0</v>
      </c>
      <c r="G159" s="17">
        <v>20625.0</v>
      </c>
      <c r="H159" s="17">
        <v>18.0</v>
      </c>
      <c r="I159" s="17">
        <v>344229.876</v>
      </c>
      <c r="J159" s="17">
        <f t="shared" si="1"/>
        <v>1</v>
      </c>
    </row>
    <row r="160">
      <c r="A160" s="16">
        <v>43961.0</v>
      </c>
      <c r="B160" s="17" t="s">
        <v>15</v>
      </c>
      <c r="C160" s="17">
        <v>368649.0</v>
      </c>
      <c r="D160" s="17">
        <v>3.9010875E7</v>
      </c>
      <c r="E160" s="17">
        <v>125.0</v>
      </c>
      <c r="F160" s="17">
        <v>20368.0</v>
      </c>
      <c r="G160" s="17">
        <v>18884.0</v>
      </c>
      <c r="H160" s="17">
        <v>19.0</v>
      </c>
      <c r="I160" s="17">
        <v>312087.0</v>
      </c>
      <c r="J160" s="17">
        <f t="shared" si="1"/>
        <v>1</v>
      </c>
    </row>
    <row r="161">
      <c r="A161" s="16">
        <v>43959.0</v>
      </c>
      <c r="B161" s="17" t="s">
        <v>15</v>
      </c>
      <c r="C161" s="17">
        <v>463530.0</v>
      </c>
      <c r="D161" s="17">
        <v>4.91231805E7</v>
      </c>
      <c r="E161" s="17">
        <v>125.0</v>
      </c>
      <c r="F161" s="17">
        <v>24620.0</v>
      </c>
      <c r="G161" s="17">
        <v>22641.0</v>
      </c>
      <c r="H161" s="17">
        <v>19.0</v>
      </c>
      <c r="I161" s="17">
        <v>392985.444</v>
      </c>
      <c r="J161" s="17">
        <f t="shared" si="1"/>
        <v>1</v>
      </c>
    </row>
    <row r="162">
      <c r="A162" s="16">
        <v>43958.0</v>
      </c>
      <c r="B162" s="17" t="s">
        <v>15</v>
      </c>
      <c r="C162" s="17">
        <v>319110.0</v>
      </c>
      <c r="D162" s="17">
        <v>3.3763989E7</v>
      </c>
      <c r="E162" s="17">
        <v>125.0</v>
      </c>
      <c r="F162" s="17">
        <v>18014.0</v>
      </c>
      <c r="G162" s="17">
        <v>16675.0</v>
      </c>
      <c r="H162" s="17">
        <v>19.0</v>
      </c>
      <c r="I162" s="17">
        <v>270111.912</v>
      </c>
      <c r="J162" s="17">
        <f t="shared" si="1"/>
        <v>1</v>
      </c>
    </row>
    <row r="163">
      <c r="A163" s="16">
        <v>43975.0</v>
      </c>
      <c r="B163" s="17" t="s">
        <v>15</v>
      </c>
      <c r="C163" s="17">
        <v>375744.0</v>
      </c>
      <c r="D163" s="17">
        <v>3.81913815E7</v>
      </c>
      <c r="E163" s="17">
        <v>125.0</v>
      </c>
      <c r="F163" s="17">
        <v>21004.0</v>
      </c>
      <c r="G163" s="17">
        <v>19556.0</v>
      </c>
      <c r="H163" s="17">
        <v>21.0</v>
      </c>
      <c r="I163" s="17">
        <v>305531.052</v>
      </c>
      <c r="J163" s="17">
        <f t="shared" si="1"/>
        <v>1</v>
      </c>
    </row>
    <row r="164">
      <c r="A164" s="16">
        <v>43967.0</v>
      </c>
      <c r="B164" s="17" t="s">
        <v>16</v>
      </c>
      <c r="C164" s="17">
        <v>81331.5</v>
      </c>
      <c r="D164" s="17">
        <v>6652179.0</v>
      </c>
      <c r="E164" s="17">
        <v>36.0</v>
      </c>
      <c r="F164" s="17">
        <v>5286.0</v>
      </c>
      <c r="G164" s="17">
        <v>4867.0</v>
      </c>
      <c r="H164" s="17">
        <v>20.0</v>
      </c>
      <c r="I164" s="17">
        <v>184782.75</v>
      </c>
      <c r="J164" s="17">
        <f t="shared" si="1"/>
        <v>6</v>
      </c>
    </row>
    <row r="165">
      <c r="A165" s="16">
        <v>43970.0</v>
      </c>
      <c r="B165" s="17" t="s">
        <v>16</v>
      </c>
      <c r="C165" s="17">
        <v>75796.5</v>
      </c>
      <c r="D165" s="17">
        <v>6173463.0</v>
      </c>
      <c r="E165" s="17">
        <v>36.0</v>
      </c>
      <c r="F165" s="17">
        <v>5094.0</v>
      </c>
      <c r="G165" s="17">
        <v>4716.0</v>
      </c>
      <c r="H165" s="17">
        <v>21.0</v>
      </c>
      <c r="I165" s="17">
        <v>171485.08333333334</v>
      </c>
      <c r="J165" s="17">
        <f t="shared" si="1"/>
        <v>6</v>
      </c>
    </row>
    <row r="166">
      <c r="A166" s="16">
        <v>43968.0</v>
      </c>
      <c r="B166" s="17" t="s">
        <v>16</v>
      </c>
      <c r="C166" s="17">
        <v>72861.0</v>
      </c>
      <c r="D166" s="17">
        <v>5952802.5</v>
      </c>
      <c r="E166" s="17">
        <v>36.0</v>
      </c>
      <c r="F166" s="17">
        <v>4918.0</v>
      </c>
      <c r="G166" s="17">
        <v>4554.0</v>
      </c>
      <c r="H166" s="17">
        <v>20.0</v>
      </c>
      <c r="I166" s="17">
        <v>165355.625</v>
      </c>
      <c r="J166" s="17">
        <f t="shared" si="1"/>
        <v>6</v>
      </c>
    </row>
    <row r="167">
      <c r="A167" s="16">
        <v>43960.0</v>
      </c>
      <c r="B167" s="17" t="s">
        <v>16</v>
      </c>
      <c r="C167" s="17">
        <v>83373.0</v>
      </c>
      <c r="D167" s="17">
        <v>7253427.0</v>
      </c>
      <c r="E167" s="17">
        <v>36.0</v>
      </c>
      <c r="F167" s="17">
        <v>5413.0</v>
      </c>
      <c r="G167" s="17">
        <v>4959.0</v>
      </c>
      <c r="H167" s="17">
        <v>19.0</v>
      </c>
      <c r="I167" s="17">
        <v>201484.08333333334</v>
      </c>
      <c r="J167" s="17">
        <f t="shared" si="1"/>
        <v>5</v>
      </c>
    </row>
    <row r="168">
      <c r="A168" s="16">
        <v>43955.0</v>
      </c>
      <c r="B168" s="17" t="s">
        <v>16</v>
      </c>
      <c r="C168" s="17">
        <v>64108.5</v>
      </c>
      <c r="D168" s="17">
        <v>5561452.5</v>
      </c>
      <c r="E168" s="17">
        <v>36.0</v>
      </c>
      <c r="F168" s="17">
        <v>4508.0</v>
      </c>
      <c r="G168" s="17">
        <v>4149.0</v>
      </c>
      <c r="H168" s="17">
        <v>19.0</v>
      </c>
      <c r="I168" s="17">
        <v>154484.79166666666</v>
      </c>
      <c r="J168" s="17">
        <f t="shared" si="1"/>
        <v>6</v>
      </c>
    </row>
    <row r="169">
      <c r="A169" s="16">
        <v>43950.0</v>
      </c>
      <c r="B169" s="17" t="s">
        <v>16</v>
      </c>
      <c r="C169" s="17">
        <v>74707.5</v>
      </c>
      <c r="D169" s="17">
        <v>6454458.0</v>
      </c>
      <c r="E169" s="17">
        <v>36.0</v>
      </c>
      <c r="F169" s="17">
        <v>4937.0</v>
      </c>
      <c r="G169" s="17">
        <v>4561.0</v>
      </c>
      <c r="H169" s="17">
        <v>18.0</v>
      </c>
      <c r="I169" s="17">
        <v>179290.5</v>
      </c>
      <c r="J169" s="17">
        <f t="shared" si="1"/>
        <v>6</v>
      </c>
    </row>
    <row r="170">
      <c r="A170" s="16">
        <v>43953.0</v>
      </c>
      <c r="B170" s="17" t="s">
        <v>16</v>
      </c>
      <c r="C170" s="17">
        <v>46216.5</v>
      </c>
      <c r="D170" s="17">
        <v>4118251.5</v>
      </c>
      <c r="E170" s="17">
        <v>36.0</v>
      </c>
      <c r="F170" s="17">
        <v>3442.0</v>
      </c>
      <c r="G170" s="17">
        <v>3147.0</v>
      </c>
      <c r="H170" s="17">
        <v>18.0</v>
      </c>
      <c r="I170" s="17">
        <v>114395.875</v>
      </c>
      <c r="J170" s="17">
        <f t="shared" si="1"/>
        <v>6</v>
      </c>
    </row>
    <row r="171">
      <c r="A171" s="16">
        <v>43977.0</v>
      </c>
      <c r="B171" s="17" t="s">
        <v>16</v>
      </c>
      <c r="C171" s="17">
        <v>67726.5</v>
      </c>
      <c r="D171" s="17">
        <v>5864989.5</v>
      </c>
      <c r="E171" s="17">
        <v>36.0</v>
      </c>
      <c r="F171" s="17">
        <v>4770.0</v>
      </c>
      <c r="G171" s="17">
        <v>4424.0</v>
      </c>
      <c r="H171" s="17">
        <v>22.0</v>
      </c>
      <c r="I171" s="17">
        <v>162916.375</v>
      </c>
      <c r="J171" s="17">
        <f t="shared" si="1"/>
        <v>6</v>
      </c>
    </row>
    <row r="172">
      <c r="A172" s="16">
        <v>43952.0</v>
      </c>
      <c r="B172" s="17" t="s">
        <v>16</v>
      </c>
      <c r="C172" s="17">
        <v>82228.5</v>
      </c>
      <c r="D172" s="17">
        <v>7032225.0</v>
      </c>
      <c r="E172" s="17">
        <v>36.0</v>
      </c>
      <c r="F172" s="17">
        <v>5457.0</v>
      </c>
      <c r="G172" s="17">
        <v>4916.0</v>
      </c>
      <c r="H172" s="17">
        <v>18.0</v>
      </c>
      <c r="I172" s="17">
        <v>195339.58333333334</v>
      </c>
      <c r="J172" s="17">
        <f t="shared" si="1"/>
        <v>6</v>
      </c>
    </row>
    <row r="173">
      <c r="A173" s="16">
        <v>43963.0</v>
      </c>
      <c r="B173" s="17" t="s">
        <v>16</v>
      </c>
      <c r="C173" s="17">
        <v>64390.5</v>
      </c>
      <c r="D173" s="17">
        <v>5523145.5</v>
      </c>
      <c r="E173" s="17">
        <v>36.0</v>
      </c>
      <c r="F173" s="17">
        <v>4418.0</v>
      </c>
      <c r="G173" s="17">
        <v>4088.0</v>
      </c>
      <c r="H173" s="17">
        <v>20.0</v>
      </c>
      <c r="I173" s="17">
        <v>153420.70833333334</v>
      </c>
      <c r="J173" s="17">
        <f t="shared" si="1"/>
        <v>6</v>
      </c>
    </row>
    <row r="174">
      <c r="A174" s="16">
        <v>43972.0</v>
      </c>
      <c r="B174" s="17" t="s">
        <v>16</v>
      </c>
      <c r="C174" s="17">
        <v>73126.5</v>
      </c>
      <c r="D174" s="17">
        <v>5864085.0</v>
      </c>
      <c r="E174" s="17">
        <v>36.0</v>
      </c>
      <c r="F174" s="17">
        <v>4816.0</v>
      </c>
      <c r="G174" s="17">
        <v>4452.0</v>
      </c>
      <c r="H174" s="17">
        <v>21.0</v>
      </c>
      <c r="I174" s="17">
        <v>162891.25</v>
      </c>
      <c r="J174" s="17">
        <f t="shared" si="1"/>
        <v>6</v>
      </c>
    </row>
    <row r="175">
      <c r="A175" s="16">
        <v>43971.0</v>
      </c>
      <c r="B175" s="17" t="s">
        <v>16</v>
      </c>
      <c r="C175" s="17">
        <v>99631.5</v>
      </c>
      <c r="D175" s="17">
        <v>7121946.0</v>
      </c>
      <c r="E175" s="17">
        <v>36.0</v>
      </c>
      <c r="F175" s="17">
        <v>5914.0</v>
      </c>
      <c r="G175" s="17">
        <v>5384.0</v>
      </c>
      <c r="H175" s="17">
        <v>21.0</v>
      </c>
      <c r="I175" s="17">
        <v>197831.83333333334</v>
      </c>
      <c r="J175" s="17">
        <f t="shared" si="1"/>
        <v>6</v>
      </c>
    </row>
    <row r="176">
      <c r="A176" s="16">
        <v>43956.0</v>
      </c>
      <c r="B176" s="17" t="s">
        <v>16</v>
      </c>
      <c r="C176" s="17">
        <v>66396.0</v>
      </c>
      <c r="D176" s="17">
        <v>5770539.0</v>
      </c>
      <c r="E176" s="17">
        <v>36.0</v>
      </c>
      <c r="F176" s="17">
        <v>4575.0</v>
      </c>
      <c r="G176" s="17">
        <v>4206.0</v>
      </c>
      <c r="H176" s="17">
        <v>19.0</v>
      </c>
      <c r="I176" s="17">
        <v>160292.75</v>
      </c>
      <c r="J176" s="17">
        <f t="shared" si="1"/>
        <v>6</v>
      </c>
    </row>
    <row r="177">
      <c r="A177" s="16">
        <v>43949.0</v>
      </c>
      <c r="B177" s="17" t="s">
        <v>16</v>
      </c>
      <c r="C177" s="17">
        <v>73147.5</v>
      </c>
      <c r="D177" s="17">
        <v>6288246.0</v>
      </c>
      <c r="E177" s="17">
        <v>36.0</v>
      </c>
      <c r="F177" s="17">
        <v>4923.0</v>
      </c>
      <c r="G177" s="17">
        <v>4560.0</v>
      </c>
      <c r="H177" s="17">
        <v>18.0</v>
      </c>
      <c r="I177" s="17">
        <v>174673.5</v>
      </c>
      <c r="J177" s="17">
        <f t="shared" si="1"/>
        <v>6</v>
      </c>
    </row>
    <row r="178">
      <c r="A178" s="16">
        <v>43964.0</v>
      </c>
      <c r="B178" s="17" t="s">
        <v>16</v>
      </c>
      <c r="C178" s="17">
        <v>73062.0</v>
      </c>
      <c r="D178" s="17">
        <v>6333828.0</v>
      </c>
      <c r="E178" s="17">
        <v>36.0</v>
      </c>
      <c r="F178" s="17">
        <v>4967.0</v>
      </c>
      <c r="G178" s="17">
        <v>4583.0</v>
      </c>
      <c r="H178" s="17">
        <v>20.0</v>
      </c>
      <c r="I178" s="17">
        <v>175939.66666666666</v>
      </c>
      <c r="J178" s="17">
        <f t="shared" si="1"/>
        <v>6</v>
      </c>
    </row>
    <row r="179">
      <c r="A179" s="16">
        <v>43982.0</v>
      </c>
      <c r="B179" s="17" t="s">
        <v>15</v>
      </c>
      <c r="C179" s="17">
        <v>379663.5</v>
      </c>
      <c r="D179" s="17">
        <v>3.9380178E7</v>
      </c>
      <c r="E179" s="17">
        <v>124.0</v>
      </c>
      <c r="F179" s="17">
        <v>21392.0</v>
      </c>
      <c r="G179" s="17">
        <v>19869.0</v>
      </c>
      <c r="H179" s="17">
        <v>22.0</v>
      </c>
      <c r="I179" s="17">
        <v>317582.0806451613</v>
      </c>
      <c r="J179" s="17">
        <f t="shared" si="1"/>
        <v>1</v>
      </c>
    </row>
    <row r="180">
      <c r="A180" s="16">
        <v>43954.0</v>
      </c>
      <c r="B180" s="17" t="s">
        <v>16</v>
      </c>
      <c r="C180" s="17">
        <v>70581.0</v>
      </c>
      <c r="D180" s="17">
        <v>6221320.5</v>
      </c>
      <c r="E180" s="17">
        <v>36.0</v>
      </c>
      <c r="F180" s="17">
        <v>4751.0</v>
      </c>
      <c r="G180" s="17">
        <v>4370.0</v>
      </c>
      <c r="H180" s="17">
        <v>18.0</v>
      </c>
      <c r="I180" s="17">
        <v>172814.45833333334</v>
      </c>
      <c r="J180" s="17">
        <f t="shared" si="1"/>
        <v>6</v>
      </c>
    </row>
    <row r="181">
      <c r="A181" s="16">
        <v>43981.0</v>
      </c>
      <c r="B181" s="17" t="s">
        <v>15</v>
      </c>
      <c r="C181" s="17">
        <v>453123.0</v>
      </c>
      <c r="D181" s="17">
        <v>4.6370904E7</v>
      </c>
      <c r="E181" s="17">
        <v>124.0</v>
      </c>
      <c r="F181" s="17">
        <v>24325.0</v>
      </c>
      <c r="G181" s="17">
        <v>22469.0</v>
      </c>
      <c r="H181" s="17">
        <v>22.0</v>
      </c>
      <c r="I181" s="17">
        <v>373958.9032258064</v>
      </c>
      <c r="J181" s="17">
        <f t="shared" si="1"/>
        <v>1</v>
      </c>
    </row>
    <row r="182">
      <c r="A182" s="16">
        <v>43957.0</v>
      </c>
      <c r="B182" s="17" t="s">
        <v>16</v>
      </c>
      <c r="C182" s="17">
        <v>63012.0</v>
      </c>
      <c r="D182" s="17">
        <v>5454121.5</v>
      </c>
      <c r="E182" s="17">
        <v>36.0</v>
      </c>
      <c r="F182" s="17">
        <v>4384.0</v>
      </c>
      <c r="G182" s="17">
        <v>4025.0</v>
      </c>
      <c r="H182" s="17">
        <v>19.0</v>
      </c>
      <c r="I182" s="17">
        <v>151503.375</v>
      </c>
      <c r="J182" s="17">
        <f t="shared" si="1"/>
        <v>6</v>
      </c>
    </row>
    <row r="183">
      <c r="A183" s="16">
        <v>43974.0</v>
      </c>
      <c r="B183" s="17" t="s">
        <v>16</v>
      </c>
      <c r="C183" s="17">
        <v>89556.0</v>
      </c>
      <c r="D183" s="17">
        <v>7173117.0</v>
      </c>
      <c r="E183" s="17">
        <v>36.0</v>
      </c>
      <c r="F183" s="17">
        <v>5651.0</v>
      </c>
      <c r="G183" s="17">
        <v>5212.0</v>
      </c>
      <c r="H183" s="17">
        <v>21.0</v>
      </c>
      <c r="I183" s="17">
        <v>199253.25</v>
      </c>
      <c r="J183" s="17">
        <f t="shared" si="1"/>
        <v>6</v>
      </c>
    </row>
    <row r="184">
      <c r="A184" s="16">
        <v>43979.0</v>
      </c>
      <c r="B184" s="17" t="s">
        <v>15</v>
      </c>
      <c r="C184" s="17">
        <v>364638.0</v>
      </c>
      <c r="D184" s="17">
        <v>3.79476885E7</v>
      </c>
      <c r="E184" s="17">
        <v>124.0</v>
      </c>
      <c r="F184" s="17">
        <v>20868.0</v>
      </c>
      <c r="G184" s="17">
        <v>19342.0</v>
      </c>
      <c r="H184" s="17">
        <v>22.0</v>
      </c>
      <c r="I184" s="17">
        <v>306029.74596774194</v>
      </c>
      <c r="J184" s="17">
        <f t="shared" si="1"/>
        <v>1</v>
      </c>
    </row>
    <row r="185">
      <c r="A185" s="16">
        <v>43976.0</v>
      </c>
      <c r="B185" s="17" t="s">
        <v>16</v>
      </c>
      <c r="C185" s="17">
        <v>66316.5</v>
      </c>
      <c r="D185" s="17">
        <v>5704650.0</v>
      </c>
      <c r="E185" s="17">
        <v>36.0</v>
      </c>
      <c r="F185" s="17">
        <v>4641.0</v>
      </c>
      <c r="G185" s="17">
        <v>4274.0</v>
      </c>
      <c r="H185" s="17">
        <v>22.0</v>
      </c>
      <c r="I185" s="17">
        <v>158462.5</v>
      </c>
      <c r="J185" s="17">
        <f t="shared" si="1"/>
        <v>6</v>
      </c>
    </row>
    <row r="186">
      <c r="A186" s="16">
        <v>43951.0</v>
      </c>
      <c r="B186" s="17" t="s">
        <v>16</v>
      </c>
      <c r="C186" s="17">
        <v>78235.5</v>
      </c>
      <c r="D186" s="17">
        <v>6819594.0</v>
      </c>
      <c r="E186" s="17">
        <v>36.0</v>
      </c>
      <c r="F186" s="17">
        <v>5143.0</v>
      </c>
      <c r="G186" s="17">
        <v>4715.0</v>
      </c>
      <c r="H186" s="17">
        <v>18.0</v>
      </c>
      <c r="I186" s="17">
        <v>189433.16666666666</v>
      </c>
      <c r="J186" s="17">
        <f t="shared" si="1"/>
        <v>6</v>
      </c>
    </row>
    <row r="187">
      <c r="A187" s="16">
        <v>43961.0</v>
      </c>
      <c r="B187" s="17" t="s">
        <v>16</v>
      </c>
      <c r="C187" s="17">
        <v>88311.0</v>
      </c>
      <c r="D187" s="17">
        <v>7726069.5</v>
      </c>
      <c r="E187" s="17">
        <v>36.0</v>
      </c>
      <c r="F187" s="17">
        <v>5746.0</v>
      </c>
      <c r="G187" s="17">
        <v>5277.0</v>
      </c>
      <c r="H187" s="17">
        <v>19.0</v>
      </c>
      <c r="I187" s="17">
        <v>214613.04166666666</v>
      </c>
      <c r="J187" s="17">
        <f t="shared" si="1"/>
        <v>5</v>
      </c>
    </row>
    <row r="188">
      <c r="A188" s="16">
        <v>43959.0</v>
      </c>
      <c r="B188" s="17" t="s">
        <v>16</v>
      </c>
      <c r="C188" s="17">
        <v>61804.5</v>
      </c>
      <c r="D188" s="17">
        <v>5365708.5</v>
      </c>
      <c r="E188" s="17">
        <v>36.0</v>
      </c>
      <c r="F188" s="17">
        <v>4199.0</v>
      </c>
      <c r="G188" s="17">
        <v>3867.0</v>
      </c>
      <c r="H188" s="17">
        <v>19.0</v>
      </c>
      <c r="I188" s="17">
        <v>149047.45833333334</v>
      </c>
      <c r="J188" s="17">
        <f t="shared" si="1"/>
        <v>6</v>
      </c>
    </row>
    <row r="189">
      <c r="A189" s="16">
        <v>43958.0</v>
      </c>
      <c r="B189" s="17" t="s">
        <v>16</v>
      </c>
      <c r="C189" s="17">
        <v>71067.0</v>
      </c>
      <c r="D189" s="17">
        <v>6175837.5</v>
      </c>
      <c r="E189" s="17">
        <v>36.0</v>
      </c>
      <c r="F189" s="17">
        <v>4826.0</v>
      </c>
      <c r="G189" s="17">
        <v>4426.0</v>
      </c>
      <c r="H189" s="17">
        <v>19.0</v>
      </c>
      <c r="I189" s="17">
        <v>171551.04166666666</v>
      </c>
      <c r="J189" s="17">
        <f t="shared" si="1"/>
        <v>6</v>
      </c>
    </row>
    <row r="190">
      <c r="A190" s="16">
        <v>43975.0</v>
      </c>
      <c r="B190" s="17" t="s">
        <v>16</v>
      </c>
      <c r="C190" s="17">
        <v>74649.0</v>
      </c>
      <c r="D190" s="17">
        <v>6098236.5</v>
      </c>
      <c r="E190" s="17">
        <v>36.0</v>
      </c>
      <c r="F190" s="17">
        <v>4915.0</v>
      </c>
      <c r="G190" s="17">
        <v>4562.0</v>
      </c>
      <c r="H190" s="17">
        <v>21.0</v>
      </c>
      <c r="I190" s="17">
        <v>169395.45833333334</v>
      </c>
      <c r="J190" s="17">
        <f t="shared" si="1"/>
        <v>6</v>
      </c>
    </row>
    <row r="191">
      <c r="A191" s="16">
        <v>43967.0</v>
      </c>
      <c r="B191" s="17" t="s">
        <v>17</v>
      </c>
      <c r="C191" s="17">
        <v>44560.5</v>
      </c>
      <c r="D191" s="17">
        <v>4025148.0</v>
      </c>
      <c r="E191" s="17">
        <v>21.0</v>
      </c>
      <c r="F191" s="17">
        <v>2427.0</v>
      </c>
      <c r="G191" s="17">
        <v>2213.0</v>
      </c>
      <c r="H191" s="17">
        <v>20.0</v>
      </c>
      <c r="I191" s="17">
        <v>191673.7142857143</v>
      </c>
      <c r="J191" s="17">
        <f t="shared" si="1"/>
        <v>7</v>
      </c>
    </row>
    <row r="192">
      <c r="A192" s="16">
        <v>43970.0</v>
      </c>
      <c r="B192" s="17" t="s">
        <v>17</v>
      </c>
      <c r="C192" s="17">
        <v>38250.0</v>
      </c>
      <c r="D192" s="17">
        <v>3552937.5</v>
      </c>
      <c r="E192" s="17">
        <v>21.0</v>
      </c>
      <c r="F192" s="17">
        <v>2245.0</v>
      </c>
      <c r="G192" s="17">
        <v>2053.0</v>
      </c>
      <c r="H192" s="17">
        <v>21.0</v>
      </c>
      <c r="I192" s="17">
        <v>169187.5</v>
      </c>
      <c r="J192" s="17">
        <f t="shared" si="1"/>
        <v>7</v>
      </c>
    </row>
    <row r="193">
      <c r="A193" s="16">
        <v>43968.0</v>
      </c>
      <c r="B193" s="17" t="s">
        <v>17</v>
      </c>
      <c r="C193" s="17">
        <v>34830.0</v>
      </c>
      <c r="D193" s="17">
        <v>3191155.5</v>
      </c>
      <c r="E193" s="17">
        <v>21.0</v>
      </c>
      <c r="F193" s="17">
        <v>2054.0</v>
      </c>
      <c r="G193" s="17">
        <v>1883.0</v>
      </c>
      <c r="H193" s="17">
        <v>20.0</v>
      </c>
      <c r="I193" s="17">
        <v>151959.7857142857</v>
      </c>
      <c r="J193" s="17">
        <f t="shared" si="1"/>
        <v>7</v>
      </c>
    </row>
    <row r="194">
      <c r="A194" s="16">
        <v>43960.0</v>
      </c>
      <c r="B194" s="17" t="s">
        <v>17</v>
      </c>
      <c r="C194" s="17">
        <v>32239.5</v>
      </c>
      <c r="D194" s="17">
        <v>3084892.5</v>
      </c>
      <c r="E194" s="17">
        <v>21.0</v>
      </c>
      <c r="F194" s="17">
        <v>1891.0</v>
      </c>
      <c r="G194" s="17">
        <v>1709.0</v>
      </c>
      <c r="H194" s="17">
        <v>19.0</v>
      </c>
      <c r="I194" s="17">
        <v>146899.64285714287</v>
      </c>
      <c r="J194" s="17">
        <f t="shared" si="1"/>
        <v>7</v>
      </c>
    </row>
    <row r="195">
      <c r="A195" s="16">
        <v>43955.0</v>
      </c>
      <c r="B195" s="17" t="s">
        <v>17</v>
      </c>
      <c r="C195" s="17">
        <v>30780.0</v>
      </c>
      <c r="D195" s="17">
        <v>2817853.5</v>
      </c>
      <c r="E195" s="17">
        <v>20.0</v>
      </c>
      <c r="F195" s="17">
        <v>1804.0</v>
      </c>
      <c r="G195" s="17">
        <v>1638.0</v>
      </c>
      <c r="H195" s="17">
        <v>19.0</v>
      </c>
      <c r="I195" s="17">
        <v>140892.675</v>
      </c>
      <c r="J195" s="17">
        <f t="shared" si="1"/>
        <v>7</v>
      </c>
    </row>
    <row r="196">
      <c r="A196" s="16">
        <v>43950.0</v>
      </c>
      <c r="B196" s="17" t="s">
        <v>17</v>
      </c>
      <c r="C196" s="17">
        <v>29142.0</v>
      </c>
      <c r="D196" s="17">
        <v>2627595.0</v>
      </c>
      <c r="E196" s="17">
        <v>19.0</v>
      </c>
      <c r="F196" s="17">
        <v>1676.0</v>
      </c>
      <c r="G196" s="17">
        <v>1516.0</v>
      </c>
      <c r="H196" s="17">
        <v>18.0</v>
      </c>
      <c r="I196" s="17">
        <v>138294.47368421053</v>
      </c>
      <c r="J196" s="17">
        <f t="shared" si="1"/>
        <v>7</v>
      </c>
    </row>
    <row r="197">
      <c r="A197" s="16">
        <v>43953.0</v>
      </c>
      <c r="B197" s="17" t="s">
        <v>17</v>
      </c>
      <c r="C197" s="17">
        <v>26428.5</v>
      </c>
      <c r="D197" s="17">
        <v>2470465.5</v>
      </c>
      <c r="E197" s="17">
        <v>20.0</v>
      </c>
      <c r="F197" s="17">
        <v>1613.0</v>
      </c>
      <c r="G197" s="17">
        <v>1457.0</v>
      </c>
      <c r="H197" s="17">
        <v>18.0</v>
      </c>
      <c r="I197" s="17">
        <v>123523.275</v>
      </c>
      <c r="J197" s="17">
        <f t="shared" si="1"/>
        <v>8</v>
      </c>
    </row>
    <row r="198">
      <c r="A198" s="16">
        <v>43977.0</v>
      </c>
      <c r="B198" s="17" t="s">
        <v>17</v>
      </c>
      <c r="C198" s="17">
        <v>40744.5</v>
      </c>
      <c r="D198" s="17">
        <v>3700311.0</v>
      </c>
      <c r="E198" s="17">
        <v>21.0</v>
      </c>
      <c r="F198" s="17">
        <v>2418.0</v>
      </c>
      <c r="G198" s="17">
        <v>2215.0</v>
      </c>
      <c r="H198" s="17">
        <v>22.0</v>
      </c>
      <c r="I198" s="17">
        <v>176205.2857142857</v>
      </c>
      <c r="J198" s="17">
        <f t="shared" si="1"/>
        <v>7</v>
      </c>
    </row>
    <row r="199">
      <c r="A199" s="16">
        <v>43952.0</v>
      </c>
      <c r="B199" s="17" t="s">
        <v>17</v>
      </c>
      <c r="C199" s="17">
        <v>46620.0</v>
      </c>
      <c r="D199" s="17">
        <v>4293241.5</v>
      </c>
      <c r="E199" s="17">
        <v>20.0</v>
      </c>
      <c r="F199" s="17">
        <v>2468.0</v>
      </c>
      <c r="G199" s="17">
        <v>2221.0</v>
      </c>
      <c r="H199" s="17">
        <v>18.0</v>
      </c>
      <c r="I199" s="17">
        <v>214662.075</v>
      </c>
      <c r="J199" s="17">
        <f t="shared" si="1"/>
        <v>7</v>
      </c>
    </row>
    <row r="200">
      <c r="A200" s="16">
        <v>43963.0</v>
      </c>
      <c r="B200" s="17" t="s">
        <v>17</v>
      </c>
      <c r="C200" s="17">
        <v>32419.5</v>
      </c>
      <c r="D200" s="17">
        <v>3080614.5</v>
      </c>
      <c r="E200" s="17">
        <v>21.0</v>
      </c>
      <c r="F200" s="17">
        <v>1926.0</v>
      </c>
      <c r="G200" s="17">
        <v>1745.0</v>
      </c>
      <c r="H200" s="17">
        <v>20.0</v>
      </c>
      <c r="I200" s="17">
        <v>146695.92857142858</v>
      </c>
      <c r="J200" s="17">
        <f t="shared" si="1"/>
        <v>7</v>
      </c>
    </row>
    <row r="201">
      <c r="A201" s="16">
        <v>43972.0</v>
      </c>
      <c r="B201" s="17" t="s">
        <v>17</v>
      </c>
      <c r="C201" s="17">
        <v>40819.5</v>
      </c>
      <c r="D201" s="17">
        <v>3810394.5</v>
      </c>
      <c r="E201" s="17">
        <v>21.0</v>
      </c>
      <c r="F201" s="17">
        <v>2335.0</v>
      </c>
      <c r="G201" s="17">
        <v>2126.0</v>
      </c>
      <c r="H201" s="17">
        <v>21.0</v>
      </c>
      <c r="I201" s="17">
        <v>181447.35714285713</v>
      </c>
      <c r="J201" s="17">
        <f t="shared" si="1"/>
        <v>7</v>
      </c>
    </row>
    <row r="202">
      <c r="A202" s="16">
        <v>43971.0</v>
      </c>
      <c r="B202" s="17" t="s">
        <v>17</v>
      </c>
      <c r="C202" s="17">
        <v>41391.0</v>
      </c>
      <c r="D202" s="17">
        <v>3918987.0</v>
      </c>
      <c r="E202" s="17">
        <v>21.0</v>
      </c>
      <c r="F202" s="17">
        <v>2410.0</v>
      </c>
      <c r="G202" s="17">
        <v>2202.0</v>
      </c>
      <c r="H202" s="17">
        <v>21.0</v>
      </c>
      <c r="I202" s="17">
        <v>186618.42857142858</v>
      </c>
      <c r="J202" s="17">
        <f t="shared" si="1"/>
        <v>7</v>
      </c>
    </row>
    <row r="203">
      <c r="A203" s="16">
        <v>43956.0</v>
      </c>
      <c r="B203" s="17" t="s">
        <v>17</v>
      </c>
      <c r="C203" s="17">
        <v>29482.5</v>
      </c>
      <c r="D203" s="17">
        <v>2648688.0</v>
      </c>
      <c r="E203" s="17">
        <v>20.0</v>
      </c>
      <c r="F203" s="17">
        <v>1757.0</v>
      </c>
      <c r="G203" s="17">
        <v>1596.0</v>
      </c>
      <c r="H203" s="17">
        <v>19.0</v>
      </c>
      <c r="I203" s="17">
        <v>132434.4</v>
      </c>
      <c r="J203" s="17">
        <f t="shared" si="1"/>
        <v>8</v>
      </c>
    </row>
    <row r="204">
      <c r="A204" s="16">
        <v>43949.0</v>
      </c>
      <c r="B204" s="17" t="s">
        <v>17</v>
      </c>
      <c r="C204" s="17">
        <v>32181.0</v>
      </c>
      <c r="D204" s="17">
        <v>2863600.5</v>
      </c>
      <c r="E204" s="17">
        <v>19.0</v>
      </c>
      <c r="F204" s="17">
        <v>1846.0</v>
      </c>
      <c r="G204" s="17">
        <v>1681.0</v>
      </c>
      <c r="H204" s="17">
        <v>18.0</v>
      </c>
      <c r="I204" s="17">
        <v>150715.81578947368</v>
      </c>
      <c r="J204" s="17">
        <f t="shared" si="1"/>
        <v>7</v>
      </c>
    </row>
    <row r="205">
      <c r="A205" s="16">
        <v>43964.0</v>
      </c>
      <c r="B205" s="17" t="s">
        <v>17</v>
      </c>
      <c r="C205" s="17">
        <v>35535.0</v>
      </c>
      <c r="D205" s="17">
        <v>3288069.0</v>
      </c>
      <c r="E205" s="17">
        <v>21.0</v>
      </c>
      <c r="F205" s="17">
        <v>2061.0</v>
      </c>
      <c r="G205" s="17">
        <v>1876.0</v>
      </c>
      <c r="H205" s="17">
        <v>20.0</v>
      </c>
      <c r="I205" s="17">
        <v>156574.7142857143</v>
      </c>
      <c r="J205" s="17">
        <f t="shared" si="1"/>
        <v>7</v>
      </c>
    </row>
    <row r="206">
      <c r="A206" s="16">
        <v>43982.0</v>
      </c>
      <c r="B206" s="17" t="s">
        <v>16</v>
      </c>
      <c r="C206" s="17">
        <v>76234.5</v>
      </c>
      <c r="D206" s="17">
        <v>6500848.5</v>
      </c>
      <c r="E206" s="17">
        <v>37.0</v>
      </c>
      <c r="F206" s="17">
        <v>5215.0</v>
      </c>
      <c r="G206" s="17">
        <v>4848.0</v>
      </c>
      <c r="H206" s="17">
        <v>22.0</v>
      </c>
      <c r="I206" s="17">
        <v>175698.6081081081</v>
      </c>
      <c r="J206" s="17">
        <f t="shared" si="1"/>
        <v>6</v>
      </c>
    </row>
    <row r="207">
      <c r="A207" s="16">
        <v>43954.0</v>
      </c>
      <c r="B207" s="17" t="s">
        <v>17</v>
      </c>
      <c r="C207" s="17">
        <v>29935.5</v>
      </c>
      <c r="D207" s="17">
        <v>2720002.5</v>
      </c>
      <c r="E207" s="17">
        <v>20.0</v>
      </c>
      <c r="F207" s="17">
        <v>1716.0</v>
      </c>
      <c r="G207" s="17">
        <v>1561.0</v>
      </c>
      <c r="H207" s="17">
        <v>18.0</v>
      </c>
      <c r="I207" s="17">
        <v>136000.125</v>
      </c>
      <c r="J207" s="17">
        <f t="shared" si="1"/>
        <v>7</v>
      </c>
    </row>
    <row r="208">
      <c r="A208" s="16">
        <v>43981.0</v>
      </c>
      <c r="B208" s="17" t="s">
        <v>16</v>
      </c>
      <c r="C208" s="17">
        <v>106926.0</v>
      </c>
      <c r="D208" s="17">
        <v>9098386.5</v>
      </c>
      <c r="E208" s="17">
        <v>37.0</v>
      </c>
      <c r="F208" s="17">
        <v>6645.0</v>
      </c>
      <c r="G208" s="17">
        <v>6122.0</v>
      </c>
      <c r="H208" s="17">
        <v>22.0</v>
      </c>
      <c r="I208" s="17">
        <v>245902.33783783784</v>
      </c>
      <c r="J208" s="17">
        <f t="shared" si="1"/>
        <v>6</v>
      </c>
    </row>
    <row r="209">
      <c r="A209" s="16">
        <v>43957.0</v>
      </c>
      <c r="B209" s="17" t="s">
        <v>17</v>
      </c>
      <c r="C209" s="17">
        <v>30342.0</v>
      </c>
      <c r="D209" s="17">
        <v>2738127.0</v>
      </c>
      <c r="E209" s="17">
        <v>20.0</v>
      </c>
      <c r="F209" s="17">
        <v>1747.0</v>
      </c>
      <c r="G209" s="17">
        <v>1570.0</v>
      </c>
      <c r="H209" s="17">
        <v>19.0</v>
      </c>
      <c r="I209" s="17">
        <v>136906.35</v>
      </c>
      <c r="J209" s="17">
        <f t="shared" si="1"/>
        <v>8</v>
      </c>
    </row>
    <row r="210">
      <c r="A210" s="16">
        <v>43974.0</v>
      </c>
      <c r="B210" s="17" t="s">
        <v>17</v>
      </c>
      <c r="C210" s="17">
        <v>42999.0</v>
      </c>
      <c r="D210" s="17">
        <v>3883215.0</v>
      </c>
      <c r="E210" s="17">
        <v>21.0</v>
      </c>
      <c r="F210" s="17">
        <v>2460.0</v>
      </c>
      <c r="G210" s="17">
        <v>2226.0</v>
      </c>
      <c r="H210" s="17">
        <v>21.0</v>
      </c>
      <c r="I210" s="17">
        <v>184915.0</v>
      </c>
      <c r="J210" s="17">
        <f t="shared" si="1"/>
        <v>7</v>
      </c>
    </row>
    <row r="211">
      <c r="A211" s="16">
        <v>43979.0</v>
      </c>
      <c r="B211" s="17" t="s">
        <v>16</v>
      </c>
      <c r="C211" s="17">
        <v>69945.0</v>
      </c>
      <c r="D211" s="17">
        <v>6101931.0</v>
      </c>
      <c r="E211" s="17">
        <v>37.0</v>
      </c>
      <c r="F211" s="17">
        <v>4840.0</v>
      </c>
      <c r="G211" s="17">
        <v>4475.0</v>
      </c>
      <c r="H211" s="17">
        <v>22.0</v>
      </c>
      <c r="I211" s="17">
        <v>164917.05405405405</v>
      </c>
      <c r="J211" s="17">
        <f t="shared" si="1"/>
        <v>6</v>
      </c>
    </row>
    <row r="212">
      <c r="A212" s="16">
        <v>43976.0</v>
      </c>
      <c r="B212" s="17" t="s">
        <v>17</v>
      </c>
      <c r="C212" s="17">
        <v>38740.5</v>
      </c>
      <c r="D212" s="17">
        <v>3561655.5</v>
      </c>
      <c r="E212" s="17">
        <v>21.0</v>
      </c>
      <c r="F212" s="17">
        <v>2330.0</v>
      </c>
      <c r="G212" s="17">
        <v>2142.0</v>
      </c>
      <c r="H212" s="17">
        <v>22.0</v>
      </c>
      <c r="I212" s="17">
        <v>169602.64285714287</v>
      </c>
      <c r="J212" s="17">
        <f t="shared" si="1"/>
        <v>7</v>
      </c>
    </row>
    <row r="213">
      <c r="A213" s="16">
        <v>43951.0</v>
      </c>
      <c r="B213" s="17" t="s">
        <v>17</v>
      </c>
      <c r="C213" s="17">
        <v>31231.5</v>
      </c>
      <c r="D213" s="17">
        <v>2853310.5</v>
      </c>
      <c r="E213" s="17">
        <v>20.0</v>
      </c>
      <c r="F213" s="17">
        <v>1756.0</v>
      </c>
      <c r="G213" s="17">
        <v>1586.0</v>
      </c>
      <c r="H213" s="17">
        <v>18.0</v>
      </c>
      <c r="I213" s="17">
        <v>142665.525</v>
      </c>
      <c r="J213" s="17">
        <f t="shared" si="1"/>
        <v>7</v>
      </c>
    </row>
    <row r="214">
      <c r="A214" s="16">
        <v>43961.0</v>
      </c>
      <c r="B214" s="17" t="s">
        <v>17</v>
      </c>
      <c r="C214" s="17">
        <v>37489.5</v>
      </c>
      <c r="D214" s="17">
        <v>3549097.5</v>
      </c>
      <c r="E214" s="17">
        <v>21.0</v>
      </c>
      <c r="F214" s="17">
        <v>2120.0</v>
      </c>
      <c r="G214" s="17">
        <v>1921.0</v>
      </c>
      <c r="H214" s="17">
        <v>19.0</v>
      </c>
      <c r="I214" s="17">
        <v>169004.64285714287</v>
      </c>
      <c r="J214" s="17">
        <f t="shared" si="1"/>
        <v>7</v>
      </c>
    </row>
    <row r="215">
      <c r="A215" s="16">
        <v>43959.0</v>
      </c>
      <c r="B215" s="17" t="s">
        <v>17</v>
      </c>
      <c r="C215" s="17">
        <v>34399.5</v>
      </c>
      <c r="D215" s="17">
        <v>3201358.5</v>
      </c>
      <c r="E215" s="17">
        <v>21.0</v>
      </c>
      <c r="F215" s="17">
        <v>1957.0</v>
      </c>
      <c r="G215" s="17">
        <v>1755.0</v>
      </c>
      <c r="H215" s="17">
        <v>19.0</v>
      </c>
      <c r="I215" s="17">
        <v>152445.64285714287</v>
      </c>
      <c r="J215" s="17">
        <f t="shared" si="1"/>
        <v>7</v>
      </c>
    </row>
    <row r="216">
      <c r="A216" s="16">
        <v>43958.0</v>
      </c>
      <c r="B216" s="17" t="s">
        <v>17</v>
      </c>
      <c r="C216" s="17">
        <v>32851.5</v>
      </c>
      <c r="D216" s="17">
        <v>2934504.0</v>
      </c>
      <c r="E216" s="17">
        <v>21.0</v>
      </c>
      <c r="F216" s="17">
        <v>1879.0</v>
      </c>
      <c r="G216" s="17">
        <v>1695.0</v>
      </c>
      <c r="H216" s="17">
        <v>19.0</v>
      </c>
      <c r="I216" s="17">
        <v>139738.2857142857</v>
      </c>
      <c r="J216" s="17">
        <f t="shared" si="1"/>
        <v>7</v>
      </c>
    </row>
    <row r="217">
      <c r="A217" s="16">
        <v>43975.0</v>
      </c>
      <c r="B217" s="17" t="s">
        <v>17</v>
      </c>
      <c r="C217" s="17">
        <v>38194.5</v>
      </c>
      <c r="D217" s="17">
        <v>3449302.5</v>
      </c>
      <c r="E217" s="17">
        <v>21.0</v>
      </c>
      <c r="F217" s="17">
        <v>2254.0</v>
      </c>
      <c r="G217" s="17">
        <v>2061.0</v>
      </c>
      <c r="H217" s="17">
        <v>21.0</v>
      </c>
      <c r="I217" s="17">
        <v>164252.5</v>
      </c>
      <c r="J217" s="17">
        <f t="shared" si="1"/>
        <v>7</v>
      </c>
    </row>
    <row r="218">
      <c r="A218" s="16">
        <v>43982.0</v>
      </c>
      <c r="B218" s="17" t="s">
        <v>17</v>
      </c>
      <c r="C218" s="17">
        <v>42423.0</v>
      </c>
      <c r="D218" s="17">
        <v>3994153.5</v>
      </c>
      <c r="E218" s="17">
        <v>23.0</v>
      </c>
      <c r="F218" s="17">
        <v>2522.0</v>
      </c>
      <c r="G218" s="17">
        <v>2295.0</v>
      </c>
      <c r="H218" s="17">
        <v>22.0</v>
      </c>
      <c r="I218" s="17">
        <v>173658.84782608695</v>
      </c>
      <c r="J218" s="17">
        <f t="shared" si="1"/>
        <v>7</v>
      </c>
    </row>
    <row r="219">
      <c r="A219" s="16">
        <v>43981.0</v>
      </c>
      <c r="B219" s="17" t="s">
        <v>17</v>
      </c>
      <c r="C219" s="17">
        <v>48286.5</v>
      </c>
      <c r="D219" s="17">
        <v>4456441.5</v>
      </c>
      <c r="E219" s="17">
        <v>22.0</v>
      </c>
      <c r="F219" s="17">
        <v>2793.0</v>
      </c>
      <c r="G219" s="17">
        <v>2539.0</v>
      </c>
      <c r="H219" s="17">
        <v>22.0</v>
      </c>
      <c r="I219" s="17">
        <v>202565.52272727274</v>
      </c>
      <c r="J219" s="17">
        <f t="shared" si="1"/>
        <v>7</v>
      </c>
    </row>
    <row r="220">
      <c r="A220" s="16">
        <v>43979.0</v>
      </c>
      <c r="B220" s="17" t="s">
        <v>17</v>
      </c>
      <c r="C220" s="17">
        <v>41442.0</v>
      </c>
      <c r="D220" s="17">
        <v>3893680.5</v>
      </c>
      <c r="E220" s="17">
        <v>22.0</v>
      </c>
      <c r="F220" s="17">
        <v>2454.0</v>
      </c>
      <c r="G220" s="17">
        <v>2239.0</v>
      </c>
      <c r="H220" s="17">
        <v>22.0</v>
      </c>
      <c r="I220" s="17">
        <v>176985.47727272726</v>
      </c>
      <c r="J220" s="17">
        <f t="shared" si="1"/>
        <v>7</v>
      </c>
    </row>
    <row r="221">
      <c r="A221" s="16">
        <v>43967.0</v>
      </c>
      <c r="B221" s="17" t="s">
        <v>18</v>
      </c>
      <c r="C221" s="17">
        <v>18600.0</v>
      </c>
      <c r="D221" s="17">
        <v>1601425.5</v>
      </c>
      <c r="E221" s="17">
        <v>15.0</v>
      </c>
      <c r="F221" s="17">
        <v>1111.0</v>
      </c>
      <c r="G221" s="17">
        <v>992.0</v>
      </c>
      <c r="H221" s="17">
        <v>20.0</v>
      </c>
      <c r="I221" s="17">
        <v>106761.7</v>
      </c>
      <c r="J221" s="17">
        <f t="shared" si="1"/>
        <v>11</v>
      </c>
    </row>
    <row r="222">
      <c r="A222" s="16">
        <v>43970.0</v>
      </c>
      <c r="B222" s="17" t="s">
        <v>18</v>
      </c>
      <c r="C222" s="17">
        <v>16638.0</v>
      </c>
      <c r="D222" s="17">
        <v>1364847.0</v>
      </c>
      <c r="E222" s="17">
        <v>16.0</v>
      </c>
      <c r="F222" s="17">
        <v>1012.0</v>
      </c>
      <c r="G222" s="17">
        <v>900.0</v>
      </c>
      <c r="H222" s="17">
        <v>21.0</v>
      </c>
      <c r="I222" s="17">
        <v>85302.9375</v>
      </c>
      <c r="J222" s="17">
        <f t="shared" si="1"/>
        <v>12</v>
      </c>
    </row>
    <row r="223">
      <c r="A223" s="16">
        <v>43968.0</v>
      </c>
      <c r="B223" s="17" t="s">
        <v>18</v>
      </c>
      <c r="C223" s="17">
        <v>15609.0</v>
      </c>
      <c r="D223" s="17">
        <v>1377577.5</v>
      </c>
      <c r="E223" s="17">
        <v>15.0</v>
      </c>
      <c r="F223" s="17">
        <v>971.0</v>
      </c>
      <c r="G223" s="17">
        <v>856.0</v>
      </c>
      <c r="H223" s="17">
        <v>20.0</v>
      </c>
      <c r="I223" s="17">
        <v>91838.5</v>
      </c>
      <c r="J223" s="17">
        <f t="shared" si="1"/>
        <v>11</v>
      </c>
    </row>
    <row r="224">
      <c r="A224" s="16">
        <v>43960.0</v>
      </c>
      <c r="B224" s="17" t="s">
        <v>18</v>
      </c>
      <c r="C224" s="17">
        <v>13948.5</v>
      </c>
      <c r="D224" s="17">
        <v>1222932.0</v>
      </c>
      <c r="E224" s="17">
        <v>15.0</v>
      </c>
      <c r="F224" s="17">
        <v>849.0</v>
      </c>
      <c r="G224" s="17">
        <v>740.0</v>
      </c>
      <c r="H224" s="17">
        <v>19.0</v>
      </c>
      <c r="I224" s="17">
        <v>81528.8</v>
      </c>
      <c r="J224" s="17">
        <f t="shared" si="1"/>
        <v>11</v>
      </c>
    </row>
    <row r="225">
      <c r="A225" s="16">
        <v>43955.0</v>
      </c>
      <c r="B225" s="17" t="s">
        <v>18</v>
      </c>
      <c r="C225" s="17">
        <v>12301.5</v>
      </c>
      <c r="D225" s="17">
        <v>1085211.0</v>
      </c>
      <c r="E225" s="17">
        <v>15.0</v>
      </c>
      <c r="F225" s="17">
        <v>750.0</v>
      </c>
      <c r="G225" s="17">
        <v>647.0</v>
      </c>
      <c r="H225" s="17">
        <v>19.0</v>
      </c>
      <c r="I225" s="17">
        <v>72347.4</v>
      </c>
      <c r="J225" s="17">
        <f t="shared" si="1"/>
        <v>11</v>
      </c>
    </row>
    <row r="226">
      <c r="A226" s="16">
        <v>43950.0</v>
      </c>
      <c r="B226" s="17" t="s">
        <v>18</v>
      </c>
      <c r="C226" s="17">
        <v>13014.0</v>
      </c>
      <c r="D226" s="17">
        <v>1115992.5</v>
      </c>
      <c r="E226" s="17">
        <v>15.0</v>
      </c>
      <c r="F226" s="17">
        <v>786.0</v>
      </c>
      <c r="G226" s="17">
        <v>695.0</v>
      </c>
      <c r="H226" s="17">
        <v>18.0</v>
      </c>
      <c r="I226" s="17">
        <v>74399.5</v>
      </c>
      <c r="J226" s="17">
        <f t="shared" si="1"/>
        <v>11</v>
      </c>
    </row>
    <row r="227">
      <c r="A227" s="16">
        <v>43953.0</v>
      </c>
      <c r="B227" s="17" t="s">
        <v>18</v>
      </c>
      <c r="C227" s="17">
        <v>12313.5</v>
      </c>
      <c r="D227" s="17">
        <v>1053220.5</v>
      </c>
      <c r="E227" s="17">
        <v>15.0</v>
      </c>
      <c r="F227" s="17">
        <v>751.0</v>
      </c>
      <c r="G227" s="17">
        <v>651.0</v>
      </c>
      <c r="H227" s="17">
        <v>18.0</v>
      </c>
      <c r="I227" s="17">
        <v>70214.7</v>
      </c>
      <c r="J227" s="17">
        <f t="shared" si="1"/>
        <v>11</v>
      </c>
    </row>
    <row r="228">
      <c r="A228" s="16">
        <v>43977.0</v>
      </c>
      <c r="B228" s="17" t="s">
        <v>18</v>
      </c>
      <c r="C228" s="17">
        <v>17391.0</v>
      </c>
      <c r="D228" s="17">
        <v>1489132.5</v>
      </c>
      <c r="E228" s="17">
        <v>17.0</v>
      </c>
      <c r="F228" s="17">
        <v>1140.0</v>
      </c>
      <c r="G228" s="17">
        <v>1016.0</v>
      </c>
      <c r="H228" s="17">
        <v>22.0</v>
      </c>
      <c r="I228" s="17">
        <v>87596.0294117647</v>
      </c>
      <c r="J228" s="17">
        <f t="shared" si="1"/>
        <v>11</v>
      </c>
    </row>
    <row r="229">
      <c r="A229" s="16">
        <v>43952.0</v>
      </c>
      <c r="B229" s="17" t="s">
        <v>18</v>
      </c>
      <c r="C229" s="17">
        <v>17113.5</v>
      </c>
      <c r="D229" s="17">
        <v>1465842.0</v>
      </c>
      <c r="E229" s="17">
        <v>15.0</v>
      </c>
      <c r="F229" s="17">
        <v>996.0</v>
      </c>
      <c r="G229" s="17">
        <v>888.0</v>
      </c>
      <c r="H229" s="17">
        <v>18.0</v>
      </c>
      <c r="I229" s="17">
        <v>97722.8</v>
      </c>
      <c r="J229" s="17">
        <f t="shared" si="1"/>
        <v>11</v>
      </c>
    </row>
    <row r="230">
      <c r="A230" s="16">
        <v>43963.0</v>
      </c>
      <c r="B230" s="17" t="s">
        <v>18</v>
      </c>
      <c r="C230" s="17">
        <v>12802.5</v>
      </c>
      <c r="D230" s="17">
        <v>1123830.0</v>
      </c>
      <c r="E230" s="17">
        <v>15.0</v>
      </c>
      <c r="F230" s="17">
        <v>845.0</v>
      </c>
      <c r="G230" s="17">
        <v>743.0</v>
      </c>
      <c r="H230" s="17">
        <v>20.0</v>
      </c>
      <c r="I230" s="17">
        <v>74922.0</v>
      </c>
      <c r="J230" s="17">
        <f t="shared" si="1"/>
        <v>11</v>
      </c>
    </row>
    <row r="231">
      <c r="A231" s="16">
        <v>43972.0</v>
      </c>
      <c r="B231" s="17" t="s">
        <v>18</v>
      </c>
      <c r="C231" s="17">
        <v>16554.0</v>
      </c>
      <c r="D231" s="17">
        <v>1380751.5</v>
      </c>
      <c r="E231" s="17">
        <v>17.0</v>
      </c>
      <c r="F231" s="17">
        <v>1045.0</v>
      </c>
      <c r="G231" s="17">
        <v>930.0</v>
      </c>
      <c r="H231" s="17">
        <v>21.0</v>
      </c>
      <c r="I231" s="17">
        <v>81220.67647058824</v>
      </c>
      <c r="J231" s="17">
        <f t="shared" si="1"/>
        <v>11</v>
      </c>
    </row>
    <row r="232">
      <c r="A232" s="16">
        <v>43971.0</v>
      </c>
      <c r="B232" s="17" t="s">
        <v>18</v>
      </c>
      <c r="C232" s="17">
        <v>17329.5</v>
      </c>
      <c r="D232" s="17">
        <v>1430254.5</v>
      </c>
      <c r="E232" s="17">
        <v>16.0</v>
      </c>
      <c r="F232" s="17">
        <v>1050.0</v>
      </c>
      <c r="G232" s="17">
        <v>938.0</v>
      </c>
      <c r="H232" s="17">
        <v>21.0</v>
      </c>
      <c r="I232" s="17">
        <v>89390.90625</v>
      </c>
      <c r="J232" s="17">
        <f t="shared" si="1"/>
        <v>11</v>
      </c>
    </row>
    <row r="233">
      <c r="A233" s="16">
        <v>43956.0</v>
      </c>
      <c r="B233" s="17" t="s">
        <v>18</v>
      </c>
      <c r="C233" s="17">
        <v>15987.0</v>
      </c>
      <c r="D233" s="17">
        <v>1384179.0</v>
      </c>
      <c r="E233" s="17">
        <v>15.0</v>
      </c>
      <c r="F233" s="17">
        <v>922.0</v>
      </c>
      <c r="G233" s="17">
        <v>823.0</v>
      </c>
      <c r="H233" s="17">
        <v>19.0</v>
      </c>
      <c r="I233" s="17">
        <v>92278.6</v>
      </c>
      <c r="J233" s="17">
        <f t="shared" si="1"/>
        <v>11</v>
      </c>
    </row>
    <row r="234">
      <c r="A234" s="16">
        <v>43949.0</v>
      </c>
      <c r="B234" s="17" t="s">
        <v>18</v>
      </c>
      <c r="C234" s="17">
        <v>13303.5</v>
      </c>
      <c r="D234" s="17">
        <v>1102887.0</v>
      </c>
      <c r="E234" s="17">
        <v>15.0</v>
      </c>
      <c r="F234" s="17">
        <v>780.0</v>
      </c>
      <c r="G234" s="17">
        <v>690.0</v>
      </c>
      <c r="H234" s="17">
        <v>18.0</v>
      </c>
      <c r="I234" s="17">
        <v>73525.8</v>
      </c>
      <c r="J234" s="17">
        <f t="shared" si="1"/>
        <v>11</v>
      </c>
    </row>
    <row r="235">
      <c r="A235" s="16">
        <v>43964.0</v>
      </c>
      <c r="B235" s="17" t="s">
        <v>18</v>
      </c>
      <c r="C235" s="17">
        <v>14305.5</v>
      </c>
      <c r="D235" s="17">
        <v>1243507.5</v>
      </c>
      <c r="E235" s="17">
        <v>15.0</v>
      </c>
      <c r="F235" s="17">
        <v>898.0</v>
      </c>
      <c r="G235" s="17">
        <v>795.0</v>
      </c>
      <c r="H235" s="17">
        <v>20.0</v>
      </c>
      <c r="I235" s="17">
        <v>82900.5</v>
      </c>
      <c r="J235" s="17">
        <f t="shared" si="1"/>
        <v>11</v>
      </c>
    </row>
    <row r="236">
      <c r="A236" s="16">
        <v>43954.0</v>
      </c>
      <c r="B236" s="17" t="s">
        <v>18</v>
      </c>
      <c r="C236" s="17">
        <v>12924.0</v>
      </c>
      <c r="D236" s="17">
        <v>1120009.5</v>
      </c>
      <c r="E236" s="17">
        <v>15.0</v>
      </c>
      <c r="F236" s="17">
        <v>784.0</v>
      </c>
      <c r="G236" s="17">
        <v>696.0</v>
      </c>
      <c r="H236" s="17">
        <v>18.0</v>
      </c>
      <c r="I236" s="17">
        <v>74667.3</v>
      </c>
      <c r="J236" s="17">
        <f t="shared" si="1"/>
        <v>11</v>
      </c>
    </row>
    <row r="237">
      <c r="A237" s="16">
        <v>43957.0</v>
      </c>
      <c r="B237" s="17" t="s">
        <v>18</v>
      </c>
      <c r="C237" s="17">
        <v>14061.0</v>
      </c>
      <c r="D237" s="17">
        <v>1221057.0</v>
      </c>
      <c r="E237" s="17">
        <v>15.0</v>
      </c>
      <c r="F237" s="17">
        <v>839.0</v>
      </c>
      <c r="G237" s="17">
        <v>733.0</v>
      </c>
      <c r="H237" s="17">
        <v>19.0</v>
      </c>
      <c r="I237" s="17">
        <v>81403.8</v>
      </c>
      <c r="J237" s="17">
        <f t="shared" si="1"/>
        <v>11</v>
      </c>
    </row>
    <row r="238">
      <c r="A238" s="16">
        <v>43974.0</v>
      </c>
      <c r="B238" s="17" t="s">
        <v>18</v>
      </c>
      <c r="C238" s="17">
        <v>21958.5</v>
      </c>
      <c r="D238" s="17">
        <v>1854001.5</v>
      </c>
      <c r="E238" s="17">
        <v>17.0</v>
      </c>
      <c r="F238" s="17">
        <v>1294.0</v>
      </c>
      <c r="G238" s="17">
        <v>1155.0</v>
      </c>
      <c r="H238" s="17">
        <v>21.0</v>
      </c>
      <c r="I238" s="17">
        <v>109058.91176470589</v>
      </c>
      <c r="J238" s="17">
        <f t="shared" si="1"/>
        <v>11</v>
      </c>
    </row>
    <row r="239">
      <c r="A239" s="16">
        <v>43976.0</v>
      </c>
      <c r="B239" s="17" t="s">
        <v>18</v>
      </c>
      <c r="C239" s="17">
        <v>17211.0</v>
      </c>
      <c r="D239" s="17">
        <v>1507867.5</v>
      </c>
      <c r="E239" s="17">
        <v>17.0</v>
      </c>
      <c r="F239" s="17">
        <v>1142.0</v>
      </c>
      <c r="G239" s="17">
        <v>1020.0</v>
      </c>
      <c r="H239" s="17">
        <v>22.0</v>
      </c>
      <c r="I239" s="17">
        <v>88698.08823529411</v>
      </c>
      <c r="J239" s="17">
        <f t="shared" si="1"/>
        <v>11</v>
      </c>
    </row>
    <row r="240">
      <c r="A240" s="16">
        <v>43951.0</v>
      </c>
      <c r="B240" s="17" t="s">
        <v>18</v>
      </c>
      <c r="C240" s="17">
        <v>12753.0</v>
      </c>
      <c r="D240" s="17">
        <v>1103068.5</v>
      </c>
      <c r="E240" s="17">
        <v>15.0</v>
      </c>
      <c r="F240" s="17">
        <v>791.0</v>
      </c>
      <c r="G240" s="17">
        <v>691.0</v>
      </c>
      <c r="H240" s="17">
        <v>18.0</v>
      </c>
      <c r="I240" s="17">
        <v>73537.9</v>
      </c>
      <c r="J240" s="17">
        <f t="shared" si="1"/>
        <v>11</v>
      </c>
    </row>
    <row r="241">
      <c r="A241" s="16">
        <v>43961.0</v>
      </c>
      <c r="B241" s="17" t="s">
        <v>18</v>
      </c>
      <c r="C241" s="17">
        <v>16435.5</v>
      </c>
      <c r="D241" s="17">
        <v>1471537.5</v>
      </c>
      <c r="E241" s="17">
        <v>15.0</v>
      </c>
      <c r="F241" s="17">
        <v>950.0</v>
      </c>
      <c r="G241" s="17">
        <v>848.0</v>
      </c>
      <c r="H241" s="17">
        <v>19.0</v>
      </c>
      <c r="I241" s="17">
        <v>98102.5</v>
      </c>
      <c r="J241" s="17">
        <f t="shared" si="1"/>
        <v>11</v>
      </c>
    </row>
    <row r="242">
      <c r="A242" s="16">
        <v>43959.0</v>
      </c>
      <c r="B242" s="17" t="s">
        <v>18</v>
      </c>
      <c r="C242" s="17">
        <v>14494.5</v>
      </c>
      <c r="D242" s="17">
        <v>1269786.0</v>
      </c>
      <c r="E242" s="17">
        <v>15.0</v>
      </c>
      <c r="F242" s="17">
        <v>879.0</v>
      </c>
      <c r="G242" s="17">
        <v>768.0</v>
      </c>
      <c r="H242" s="17">
        <v>19.0</v>
      </c>
      <c r="I242" s="17">
        <v>84652.4</v>
      </c>
      <c r="J242" s="17">
        <f t="shared" si="1"/>
        <v>11</v>
      </c>
    </row>
    <row r="243">
      <c r="A243" s="16">
        <v>43958.0</v>
      </c>
      <c r="B243" s="17" t="s">
        <v>18</v>
      </c>
      <c r="C243" s="17">
        <v>12705.0</v>
      </c>
      <c r="D243" s="17">
        <v>1123894.5</v>
      </c>
      <c r="E243" s="17">
        <v>15.0</v>
      </c>
      <c r="F243" s="17">
        <v>805.0</v>
      </c>
      <c r="G243" s="17">
        <v>703.0</v>
      </c>
      <c r="H243" s="17">
        <v>19.0</v>
      </c>
      <c r="I243" s="17">
        <v>74926.3</v>
      </c>
      <c r="J243" s="17">
        <f t="shared" si="1"/>
        <v>11</v>
      </c>
    </row>
    <row r="244">
      <c r="A244" s="16">
        <v>43975.0</v>
      </c>
      <c r="B244" s="17" t="s">
        <v>18</v>
      </c>
      <c r="C244" s="17">
        <v>18075.0</v>
      </c>
      <c r="D244" s="17">
        <v>1548099.0</v>
      </c>
      <c r="E244" s="17">
        <v>17.0</v>
      </c>
      <c r="F244" s="17">
        <v>1128.0</v>
      </c>
      <c r="G244" s="17">
        <v>1001.0</v>
      </c>
      <c r="H244" s="17">
        <v>21.0</v>
      </c>
      <c r="I244" s="17">
        <v>91064.64705882352</v>
      </c>
      <c r="J244" s="17">
        <f t="shared" si="1"/>
        <v>11</v>
      </c>
    </row>
    <row r="245">
      <c r="A245" s="16">
        <v>43967.0</v>
      </c>
      <c r="B245" s="17" t="s">
        <v>19</v>
      </c>
      <c r="C245" s="17">
        <v>13120.5</v>
      </c>
      <c r="D245" s="17">
        <v>1215033.0</v>
      </c>
      <c r="E245" s="17">
        <v>15.0</v>
      </c>
      <c r="F245" s="17">
        <v>747.0</v>
      </c>
      <c r="G245" s="17">
        <v>647.0</v>
      </c>
      <c r="H245" s="17">
        <v>20.0</v>
      </c>
      <c r="I245" s="17">
        <v>81002.2</v>
      </c>
      <c r="J245" s="17">
        <f t="shared" si="1"/>
        <v>13</v>
      </c>
    </row>
    <row r="246">
      <c r="A246" s="16">
        <v>43970.0</v>
      </c>
      <c r="B246" s="17" t="s">
        <v>19</v>
      </c>
      <c r="C246" s="17">
        <v>16237.5</v>
      </c>
      <c r="D246" s="17">
        <v>1403047.5</v>
      </c>
      <c r="E246" s="17">
        <v>15.0</v>
      </c>
      <c r="F246" s="17">
        <v>930.0</v>
      </c>
      <c r="G246" s="17">
        <v>827.0</v>
      </c>
      <c r="H246" s="17">
        <v>21.0</v>
      </c>
      <c r="I246" s="17">
        <v>93536.5</v>
      </c>
      <c r="J246" s="17">
        <f t="shared" si="1"/>
        <v>11</v>
      </c>
    </row>
    <row r="247">
      <c r="A247" s="16">
        <v>43968.0</v>
      </c>
      <c r="B247" s="17" t="s">
        <v>19</v>
      </c>
      <c r="C247" s="17">
        <v>11967.0</v>
      </c>
      <c r="D247" s="17">
        <v>1060489.5</v>
      </c>
      <c r="E247" s="17">
        <v>15.0</v>
      </c>
      <c r="F247" s="17">
        <v>692.0</v>
      </c>
      <c r="G247" s="17">
        <v>591.0</v>
      </c>
      <c r="H247" s="17">
        <v>20.0</v>
      </c>
      <c r="I247" s="17">
        <v>70699.3</v>
      </c>
      <c r="J247" s="17">
        <f t="shared" si="1"/>
        <v>13</v>
      </c>
    </row>
    <row r="248">
      <c r="A248" s="16">
        <v>43960.0</v>
      </c>
      <c r="B248" s="17" t="s">
        <v>19</v>
      </c>
      <c r="C248" s="17">
        <v>12037.5</v>
      </c>
      <c r="D248" s="17">
        <v>1081216.5</v>
      </c>
      <c r="E248" s="17">
        <v>15.0</v>
      </c>
      <c r="F248" s="17">
        <v>623.0</v>
      </c>
      <c r="G248" s="17">
        <v>535.0</v>
      </c>
      <c r="H248" s="17">
        <v>19.0</v>
      </c>
      <c r="I248" s="17">
        <v>72081.1</v>
      </c>
      <c r="J248" s="17">
        <f t="shared" si="1"/>
        <v>12</v>
      </c>
    </row>
    <row r="249">
      <c r="A249" s="16">
        <v>43955.0</v>
      </c>
      <c r="B249" s="17" t="s">
        <v>19</v>
      </c>
      <c r="C249" s="17">
        <v>7087.5</v>
      </c>
      <c r="D249" s="17">
        <v>610855.5</v>
      </c>
      <c r="E249" s="17">
        <v>15.0</v>
      </c>
      <c r="F249" s="17">
        <v>390.0</v>
      </c>
      <c r="G249" s="17">
        <v>315.0</v>
      </c>
      <c r="H249" s="17">
        <v>19.0</v>
      </c>
      <c r="I249" s="17">
        <v>40723.7</v>
      </c>
      <c r="J249" s="17">
        <f t="shared" si="1"/>
        <v>14</v>
      </c>
    </row>
    <row r="250">
      <c r="A250" s="16">
        <v>43950.0</v>
      </c>
      <c r="B250" s="17" t="s">
        <v>20</v>
      </c>
      <c r="C250" s="17">
        <v>25816.5</v>
      </c>
      <c r="D250" s="17">
        <v>2360914.5</v>
      </c>
      <c r="E250" s="17">
        <v>18.0</v>
      </c>
      <c r="F250" s="17">
        <v>1599.0</v>
      </c>
      <c r="G250" s="17">
        <v>1450.0</v>
      </c>
      <c r="H250" s="17">
        <v>18.0</v>
      </c>
      <c r="I250" s="17">
        <v>131161.91666666666</v>
      </c>
      <c r="J250" s="17">
        <f t="shared" si="1"/>
        <v>10</v>
      </c>
    </row>
    <row r="251">
      <c r="A251" s="16">
        <v>43953.0</v>
      </c>
      <c r="B251" s="17" t="s">
        <v>19</v>
      </c>
      <c r="C251" s="17">
        <v>4624.5</v>
      </c>
      <c r="D251" s="17">
        <v>433243.5</v>
      </c>
      <c r="E251" s="17">
        <v>15.0</v>
      </c>
      <c r="F251" s="17">
        <v>274.0</v>
      </c>
      <c r="G251" s="17">
        <v>203.0</v>
      </c>
      <c r="H251" s="17">
        <v>18.0</v>
      </c>
      <c r="I251" s="17">
        <v>28882.9</v>
      </c>
      <c r="J251" s="17">
        <f t="shared" si="1"/>
        <v>14</v>
      </c>
    </row>
    <row r="252">
      <c r="A252" s="16">
        <v>43977.0</v>
      </c>
      <c r="B252" s="17" t="s">
        <v>19</v>
      </c>
      <c r="C252" s="17">
        <v>12259.5</v>
      </c>
      <c r="D252" s="17">
        <v>1152054.0</v>
      </c>
      <c r="E252" s="17">
        <v>15.0</v>
      </c>
      <c r="F252" s="17">
        <v>812.0</v>
      </c>
      <c r="G252" s="17">
        <v>711.0</v>
      </c>
      <c r="H252" s="17">
        <v>22.0</v>
      </c>
      <c r="I252" s="17">
        <v>76803.6</v>
      </c>
      <c r="J252" s="17">
        <f t="shared" si="1"/>
        <v>13</v>
      </c>
    </row>
    <row r="253">
      <c r="A253" s="16">
        <v>43952.0</v>
      </c>
      <c r="B253" s="17" t="s">
        <v>19</v>
      </c>
      <c r="C253" s="17">
        <v>5446.5</v>
      </c>
      <c r="D253" s="17">
        <v>505572.0</v>
      </c>
      <c r="E253" s="17">
        <v>15.0</v>
      </c>
      <c r="F253" s="17">
        <v>294.0</v>
      </c>
      <c r="G253" s="17">
        <v>225.0</v>
      </c>
      <c r="H253" s="17">
        <v>18.0</v>
      </c>
      <c r="I253" s="17">
        <v>33704.8</v>
      </c>
      <c r="J253" s="17">
        <f t="shared" si="1"/>
        <v>14</v>
      </c>
    </row>
    <row r="254">
      <c r="A254" s="16">
        <v>43963.0</v>
      </c>
      <c r="B254" s="17" t="s">
        <v>19</v>
      </c>
      <c r="C254" s="17">
        <v>11296.5</v>
      </c>
      <c r="D254" s="17">
        <v>989632.5</v>
      </c>
      <c r="E254" s="17">
        <v>15.0</v>
      </c>
      <c r="F254" s="17">
        <v>624.0</v>
      </c>
      <c r="G254" s="17">
        <v>538.0</v>
      </c>
      <c r="H254" s="17">
        <v>20.0</v>
      </c>
      <c r="I254" s="17">
        <v>65975.5</v>
      </c>
      <c r="J254" s="17">
        <f t="shared" si="1"/>
        <v>13</v>
      </c>
    </row>
    <row r="255">
      <c r="A255" s="16">
        <v>43972.0</v>
      </c>
      <c r="B255" s="17" t="s">
        <v>19</v>
      </c>
      <c r="C255" s="17">
        <v>12135.0</v>
      </c>
      <c r="D255" s="17">
        <v>1103623.5</v>
      </c>
      <c r="E255" s="17">
        <v>15.0</v>
      </c>
      <c r="F255" s="17">
        <v>749.0</v>
      </c>
      <c r="G255" s="17">
        <v>652.0</v>
      </c>
      <c r="H255" s="17">
        <v>21.0</v>
      </c>
      <c r="I255" s="17">
        <v>73574.9</v>
      </c>
      <c r="J255" s="17">
        <f t="shared" si="1"/>
        <v>13</v>
      </c>
    </row>
    <row r="256">
      <c r="A256" s="16">
        <v>43971.0</v>
      </c>
      <c r="B256" s="17" t="s">
        <v>19</v>
      </c>
      <c r="C256" s="17">
        <v>12630.0</v>
      </c>
      <c r="D256" s="17">
        <v>1104858.0</v>
      </c>
      <c r="E256" s="17">
        <v>15.0</v>
      </c>
      <c r="F256" s="17">
        <v>760.0</v>
      </c>
      <c r="G256" s="17">
        <v>664.0</v>
      </c>
      <c r="H256" s="17">
        <v>21.0</v>
      </c>
      <c r="I256" s="17">
        <v>73657.2</v>
      </c>
      <c r="J256" s="17">
        <f t="shared" si="1"/>
        <v>13</v>
      </c>
    </row>
    <row r="257">
      <c r="A257" s="16">
        <v>43956.0</v>
      </c>
      <c r="B257" s="17" t="s">
        <v>19</v>
      </c>
      <c r="C257" s="17">
        <v>8223.0</v>
      </c>
      <c r="D257" s="17">
        <v>694593.0</v>
      </c>
      <c r="E257" s="17">
        <v>15.0</v>
      </c>
      <c r="F257" s="17">
        <v>455.0</v>
      </c>
      <c r="G257" s="17">
        <v>381.0</v>
      </c>
      <c r="H257" s="17">
        <v>19.0</v>
      </c>
      <c r="I257" s="17">
        <v>46306.2</v>
      </c>
      <c r="J257" s="17">
        <f t="shared" si="1"/>
        <v>14</v>
      </c>
    </row>
    <row r="258">
      <c r="A258" s="16">
        <v>43949.0</v>
      </c>
      <c r="B258" s="17" t="s">
        <v>20</v>
      </c>
      <c r="C258" s="17">
        <v>25149.0</v>
      </c>
      <c r="D258" s="17">
        <v>2277072.0</v>
      </c>
      <c r="E258" s="17">
        <v>18.0</v>
      </c>
      <c r="F258" s="17">
        <v>1505.0</v>
      </c>
      <c r="G258" s="17">
        <v>1368.0</v>
      </c>
      <c r="H258" s="17">
        <v>18.0</v>
      </c>
      <c r="I258" s="17">
        <v>126504.0</v>
      </c>
      <c r="J258" s="17">
        <f t="shared" si="1"/>
        <v>9</v>
      </c>
    </row>
    <row r="259">
      <c r="A259" s="16">
        <v>43964.0</v>
      </c>
      <c r="B259" s="17" t="s">
        <v>19</v>
      </c>
      <c r="C259" s="17">
        <v>10401.0</v>
      </c>
      <c r="D259" s="17">
        <v>949912.5</v>
      </c>
      <c r="E259" s="17">
        <v>15.0</v>
      </c>
      <c r="F259" s="17">
        <v>599.0</v>
      </c>
      <c r="G259" s="17">
        <v>515.0</v>
      </c>
      <c r="H259" s="17">
        <v>20.0</v>
      </c>
      <c r="I259" s="17">
        <v>63327.5</v>
      </c>
      <c r="J259" s="17">
        <f t="shared" si="1"/>
        <v>13</v>
      </c>
    </row>
    <row r="260">
      <c r="A260" s="16">
        <v>43982.0</v>
      </c>
      <c r="B260" s="17" t="s">
        <v>18</v>
      </c>
      <c r="C260" s="17">
        <v>17689.5</v>
      </c>
      <c r="D260" s="17">
        <v>1592119.5</v>
      </c>
      <c r="E260" s="17">
        <v>17.0</v>
      </c>
      <c r="F260" s="17">
        <v>1186.0</v>
      </c>
      <c r="G260" s="17">
        <v>1054.0</v>
      </c>
      <c r="H260" s="17">
        <v>22.0</v>
      </c>
      <c r="I260" s="17">
        <v>93654.08823529411</v>
      </c>
      <c r="J260" s="17">
        <f t="shared" si="1"/>
        <v>11</v>
      </c>
    </row>
    <row r="261">
      <c r="A261" s="16">
        <v>43954.0</v>
      </c>
      <c r="B261" s="17" t="s">
        <v>19</v>
      </c>
      <c r="C261" s="17">
        <v>8127.0</v>
      </c>
      <c r="D261" s="17">
        <v>665302.5</v>
      </c>
      <c r="E261" s="17">
        <v>15.0</v>
      </c>
      <c r="F261" s="17">
        <v>455.0</v>
      </c>
      <c r="G261" s="17">
        <v>384.0</v>
      </c>
      <c r="H261" s="17">
        <v>18.0</v>
      </c>
      <c r="I261" s="17">
        <v>44353.5</v>
      </c>
      <c r="J261" s="17">
        <f t="shared" si="1"/>
        <v>13</v>
      </c>
    </row>
    <row r="262">
      <c r="A262" s="16">
        <v>43981.0</v>
      </c>
      <c r="B262" s="17" t="s">
        <v>18</v>
      </c>
      <c r="C262" s="17">
        <v>27250.5</v>
      </c>
      <c r="D262" s="17">
        <v>2457252.0</v>
      </c>
      <c r="E262" s="17">
        <v>17.0</v>
      </c>
      <c r="F262" s="17">
        <v>1697.0</v>
      </c>
      <c r="G262" s="17">
        <v>1499.0</v>
      </c>
      <c r="H262" s="17">
        <v>22.0</v>
      </c>
      <c r="I262" s="17">
        <v>144544.23529411765</v>
      </c>
      <c r="J262" s="17">
        <f t="shared" si="1"/>
        <v>11</v>
      </c>
    </row>
    <row r="263">
      <c r="A263" s="16">
        <v>43957.0</v>
      </c>
      <c r="B263" s="17" t="s">
        <v>19</v>
      </c>
      <c r="C263" s="17">
        <v>8464.5</v>
      </c>
      <c r="D263" s="17">
        <v>739291.5</v>
      </c>
      <c r="E263" s="17">
        <v>15.0</v>
      </c>
      <c r="F263" s="17">
        <v>467.0</v>
      </c>
      <c r="G263" s="17">
        <v>389.0</v>
      </c>
      <c r="H263" s="17">
        <v>19.0</v>
      </c>
      <c r="I263" s="17">
        <v>49286.1</v>
      </c>
      <c r="J263" s="17">
        <f t="shared" si="1"/>
        <v>13</v>
      </c>
    </row>
    <row r="264">
      <c r="A264" s="16">
        <v>43974.0</v>
      </c>
      <c r="B264" s="17" t="s">
        <v>19</v>
      </c>
      <c r="C264" s="17">
        <v>14167.5</v>
      </c>
      <c r="D264" s="17">
        <v>1315075.5</v>
      </c>
      <c r="E264" s="17">
        <v>15.0</v>
      </c>
      <c r="F264" s="17">
        <v>840.0</v>
      </c>
      <c r="G264" s="17">
        <v>725.0</v>
      </c>
      <c r="H264" s="17">
        <v>21.0</v>
      </c>
      <c r="I264" s="17">
        <v>87671.7</v>
      </c>
      <c r="J264" s="17">
        <f t="shared" si="1"/>
        <v>13</v>
      </c>
    </row>
    <row r="265">
      <c r="A265" s="16">
        <v>43979.0</v>
      </c>
      <c r="B265" s="17" t="s">
        <v>18</v>
      </c>
      <c r="C265" s="17">
        <v>16500.0</v>
      </c>
      <c r="D265" s="17">
        <v>1487928.0</v>
      </c>
      <c r="E265" s="17">
        <v>17.0</v>
      </c>
      <c r="F265" s="17">
        <v>1097.0</v>
      </c>
      <c r="G265" s="17">
        <v>968.0</v>
      </c>
      <c r="H265" s="17">
        <v>22.0</v>
      </c>
      <c r="I265" s="17">
        <v>87525.17647058824</v>
      </c>
      <c r="J265" s="17">
        <f t="shared" si="1"/>
        <v>11</v>
      </c>
    </row>
    <row r="266">
      <c r="A266" s="16">
        <v>43976.0</v>
      </c>
      <c r="B266" s="17" t="s">
        <v>19</v>
      </c>
      <c r="C266" s="17">
        <v>13260.0</v>
      </c>
      <c r="D266" s="17">
        <v>1230687.0</v>
      </c>
      <c r="E266" s="17">
        <v>15.0</v>
      </c>
      <c r="F266" s="17">
        <v>835.0</v>
      </c>
      <c r="G266" s="17">
        <v>736.0</v>
      </c>
      <c r="H266" s="17">
        <v>22.0</v>
      </c>
      <c r="I266" s="17">
        <v>82045.8</v>
      </c>
      <c r="J266" s="17">
        <f t="shared" si="1"/>
        <v>13</v>
      </c>
    </row>
    <row r="267">
      <c r="A267" s="16">
        <v>43951.0</v>
      </c>
      <c r="B267" s="17" t="s">
        <v>19</v>
      </c>
      <c r="C267" s="17">
        <v>4285.5</v>
      </c>
      <c r="D267" s="17">
        <v>404691.0</v>
      </c>
      <c r="E267" s="17">
        <v>15.0</v>
      </c>
      <c r="F267" s="17">
        <v>262.0</v>
      </c>
      <c r="G267" s="17">
        <v>195.0</v>
      </c>
      <c r="H267" s="17">
        <v>18.0</v>
      </c>
      <c r="I267" s="17">
        <v>26979.4</v>
      </c>
      <c r="J267" s="17">
        <f t="shared" si="1"/>
        <v>14</v>
      </c>
    </row>
    <row r="268">
      <c r="A268" s="16">
        <v>43961.0</v>
      </c>
      <c r="B268" s="17" t="s">
        <v>19</v>
      </c>
      <c r="C268" s="17">
        <v>13440.0</v>
      </c>
      <c r="D268" s="17">
        <v>1198285.5</v>
      </c>
      <c r="E268" s="17">
        <v>15.0</v>
      </c>
      <c r="F268" s="17">
        <v>706.0</v>
      </c>
      <c r="G268" s="17">
        <v>608.0</v>
      </c>
      <c r="H268" s="17">
        <v>19.0</v>
      </c>
      <c r="I268" s="17">
        <v>79885.7</v>
      </c>
      <c r="J268" s="17">
        <f t="shared" si="1"/>
        <v>13</v>
      </c>
    </row>
    <row r="269">
      <c r="A269" s="16">
        <v>43959.0</v>
      </c>
      <c r="B269" s="17" t="s">
        <v>19</v>
      </c>
      <c r="C269" s="17">
        <v>9058.5</v>
      </c>
      <c r="D269" s="17">
        <v>798759.0</v>
      </c>
      <c r="E269" s="17">
        <v>15.0</v>
      </c>
      <c r="F269" s="17">
        <v>492.0</v>
      </c>
      <c r="G269" s="17">
        <v>412.0</v>
      </c>
      <c r="H269" s="17">
        <v>19.0</v>
      </c>
      <c r="I269" s="17">
        <v>53250.6</v>
      </c>
      <c r="J269" s="17">
        <f t="shared" si="1"/>
        <v>14</v>
      </c>
    </row>
    <row r="270">
      <c r="A270" s="16">
        <v>43958.0</v>
      </c>
      <c r="B270" s="17" t="s">
        <v>19</v>
      </c>
      <c r="C270" s="17">
        <v>8719.5</v>
      </c>
      <c r="D270" s="17">
        <v>769276.5</v>
      </c>
      <c r="E270" s="17">
        <v>15.0</v>
      </c>
      <c r="F270" s="17">
        <v>480.0</v>
      </c>
      <c r="G270" s="17">
        <v>398.0</v>
      </c>
      <c r="H270" s="17">
        <v>19.0</v>
      </c>
      <c r="I270" s="17">
        <v>51285.1</v>
      </c>
      <c r="J270" s="17">
        <f t="shared" si="1"/>
        <v>14</v>
      </c>
    </row>
    <row r="271">
      <c r="A271" s="16">
        <v>43975.0</v>
      </c>
      <c r="B271" s="17" t="s">
        <v>19</v>
      </c>
      <c r="C271" s="17">
        <v>12666.0</v>
      </c>
      <c r="D271" s="17">
        <v>1184865.0</v>
      </c>
      <c r="E271" s="17">
        <v>15.0</v>
      </c>
      <c r="F271" s="17">
        <v>779.0</v>
      </c>
      <c r="G271" s="17">
        <v>673.0</v>
      </c>
      <c r="H271" s="17">
        <v>21.0</v>
      </c>
      <c r="I271" s="17">
        <v>78991.0</v>
      </c>
      <c r="J271" s="17">
        <f t="shared" si="1"/>
        <v>13</v>
      </c>
    </row>
    <row r="272">
      <c r="A272" s="16">
        <v>43967.0</v>
      </c>
      <c r="B272" s="17" t="s">
        <v>20</v>
      </c>
      <c r="C272" s="17">
        <v>34563.0</v>
      </c>
      <c r="D272" s="17">
        <v>2922883.5</v>
      </c>
      <c r="E272" s="17">
        <v>19.0</v>
      </c>
      <c r="F272" s="17">
        <v>2039.0</v>
      </c>
      <c r="G272" s="17">
        <v>1868.0</v>
      </c>
      <c r="H272" s="17">
        <v>20.0</v>
      </c>
      <c r="I272" s="17">
        <v>153835.97368421053</v>
      </c>
      <c r="J272" s="17">
        <f t="shared" si="1"/>
        <v>10</v>
      </c>
    </row>
    <row r="273">
      <c r="A273" s="16">
        <v>43970.0</v>
      </c>
      <c r="B273" s="17" t="s">
        <v>20</v>
      </c>
      <c r="C273" s="17">
        <v>28882.5</v>
      </c>
      <c r="D273" s="17">
        <v>2446530.0</v>
      </c>
      <c r="E273" s="17">
        <v>19.0</v>
      </c>
      <c r="F273" s="17">
        <v>1831.0</v>
      </c>
      <c r="G273" s="17">
        <v>1667.0</v>
      </c>
      <c r="H273" s="17">
        <v>21.0</v>
      </c>
      <c r="I273" s="17">
        <v>128764.73684210527</v>
      </c>
      <c r="J273" s="17">
        <f t="shared" si="1"/>
        <v>10</v>
      </c>
    </row>
    <row r="274">
      <c r="A274" s="16">
        <v>43968.0</v>
      </c>
      <c r="B274" s="17" t="s">
        <v>20</v>
      </c>
      <c r="C274" s="17">
        <v>28275.0</v>
      </c>
      <c r="D274" s="17">
        <v>2435632.5</v>
      </c>
      <c r="E274" s="17">
        <v>19.0</v>
      </c>
      <c r="F274" s="17">
        <v>1790.0</v>
      </c>
      <c r="G274" s="17">
        <v>1633.0</v>
      </c>
      <c r="H274" s="17">
        <v>20.0</v>
      </c>
      <c r="I274" s="17">
        <v>128191.18421052632</v>
      </c>
      <c r="J274" s="17">
        <f t="shared" si="1"/>
        <v>10</v>
      </c>
    </row>
    <row r="275">
      <c r="A275" s="16">
        <v>43960.0</v>
      </c>
      <c r="B275" s="17" t="s">
        <v>20</v>
      </c>
      <c r="C275" s="17">
        <v>26271.0</v>
      </c>
      <c r="D275" s="17">
        <v>2384937.0</v>
      </c>
      <c r="E275" s="17">
        <v>19.0</v>
      </c>
      <c r="F275" s="17">
        <v>1542.0</v>
      </c>
      <c r="G275" s="17">
        <v>1412.0</v>
      </c>
      <c r="H275" s="17">
        <v>19.0</v>
      </c>
      <c r="I275" s="17">
        <v>125523.0</v>
      </c>
      <c r="J275" s="17">
        <f t="shared" si="1"/>
        <v>10</v>
      </c>
    </row>
    <row r="276">
      <c r="A276" s="16">
        <v>43955.0</v>
      </c>
      <c r="B276" s="17" t="s">
        <v>20</v>
      </c>
      <c r="C276" s="17">
        <v>23587.5</v>
      </c>
      <c r="D276" s="17">
        <v>2155668.0</v>
      </c>
      <c r="E276" s="17">
        <v>19.0</v>
      </c>
      <c r="F276" s="17">
        <v>1479.0</v>
      </c>
      <c r="G276" s="17">
        <v>1346.0</v>
      </c>
      <c r="H276" s="17">
        <v>19.0</v>
      </c>
      <c r="I276" s="17">
        <v>113456.21052631579</v>
      </c>
      <c r="J276" s="17">
        <f t="shared" si="1"/>
        <v>10</v>
      </c>
    </row>
    <row r="277">
      <c r="A277" s="16">
        <v>43953.0</v>
      </c>
      <c r="B277" s="17" t="s">
        <v>20</v>
      </c>
      <c r="C277" s="17">
        <v>18427.5</v>
      </c>
      <c r="D277" s="17">
        <v>1682851.5</v>
      </c>
      <c r="E277" s="17">
        <v>19.0</v>
      </c>
      <c r="F277" s="17">
        <v>1206.0</v>
      </c>
      <c r="G277" s="17">
        <v>1080.0</v>
      </c>
      <c r="H277" s="17">
        <v>18.0</v>
      </c>
      <c r="I277" s="17">
        <v>88571.13157894737</v>
      </c>
      <c r="J277" s="17">
        <f t="shared" si="1"/>
        <v>10</v>
      </c>
    </row>
    <row r="278">
      <c r="A278" s="16">
        <v>43977.0</v>
      </c>
      <c r="B278" s="17" t="s">
        <v>20</v>
      </c>
      <c r="C278" s="17">
        <v>27156.0</v>
      </c>
      <c r="D278" s="17">
        <v>2410803.0</v>
      </c>
      <c r="E278" s="17">
        <v>20.0</v>
      </c>
      <c r="F278" s="17">
        <v>1814.0</v>
      </c>
      <c r="G278" s="17">
        <v>1655.0</v>
      </c>
      <c r="H278" s="17">
        <v>22.0</v>
      </c>
      <c r="I278" s="17">
        <v>120540.15</v>
      </c>
      <c r="J278" s="17">
        <f t="shared" si="1"/>
        <v>10</v>
      </c>
    </row>
    <row r="279">
      <c r="A279" s="16">
        <v>43952.0</v>
      </c>
      <c r="B279" s="17" t="s">
        <v>20</v>
      </c>
      <c r="C279" s="17">
        <v>35190.0</v>
      </c>
      <c r="D279" s="17">
        <v>3168510.0</v>
      </c>
      <c r="E279" s="17">
        <v>19.0</v>
      </c>
      <c r="F279" s="17">
        <v>1987.0</v>
      </c>
      <c r="G279" s="17">
        <v>1791.0</v>
      </c>
      <c r="H279" s="17">
        <v>18.0</v>
      </c>
      <c r="I279" s="17">
        <v>166763.68421052632</v>
      </c>
      <c r="J279" s="17">
        <f t="shared" si="1"/>
        <v>8</v>
      </c>
    </row>
    <row r="280">
      <c r="A280" s="16">
        <v>43963.0</v>
      </c>
      <c r="B280" s="17" t="s">
        <v>20</v>
      </c>
      <c r="C280" s="17">
        <v>25483.5</v>
      </c>
      <c r="D280" s="17">
        <v>2243160.0</v>
      </c>
      <c r="E280" s="17">
        <v>19.0</v>
      </c>
      <c r="F280" s="17">
        <v>1598.0</v>
      </c>
      <c r="G280" s="17">
        <v>1454.0</v>
      </c>
      <c r="H280" s="17">
        <v>20.0</v>
      </c>
      <c r="I280" s="17">
        <v>118061.05263157895</v>
      </c>
      <c r="J280" s="17">
        <f t="shared" si="1"/>
        <v>10</v>
      </c>
    </row>
    <row r="281">
      <c r="A281" s="16">
        <v>43972.0</v>
      </c>
      <c r="B281" s="17" t="s">
        <v>20</v>
      </c>
      <c r="C281" s="17">
        <v>25362.0</v>
      </c>
      <c r="D281" s="17">
        <v>2198935.5</v>
      </c>
      <c r="E281" s="17">
        <v>19.0</v>
      </c>
      <c r="F281" s="17">
        <v>1650.0</v>
      </c>
      <c r="G281" s="17">
        <v>1505.0</v>
      </c>
      <c r="H281" s="17">
        <v>21.0</v>
      </c>
      <c r="I281" s="17">
        <v>115733.44736842105</v>
      </c>
      <c r="J281" s="17">
        <f t="shared" si="1"/>
        <v>10</v>
      </c>
    </row>
    <row r="282">
      <c r="A282" s="16">
        <v>43971.0</v>
      </c>
      <c r="B282" s="17" t="s">
        <v>20</v>
      </c>
      <c r="C282" s="17">
        <v>28849.5</v>
      </c>
      <c r="D282" s="17">
        <v>2520759.0</v>
      </c>
      <c r="E282" s="17">
        <v>19.0</v>
      </c>
      <c r="F282" s="17">
        <v>1823.0</v>
      </c>
      <c r="G282" s="17">
        <v>1678.0</v>
      </c>
      <c r="H282" s="17">
        <v>21.0</v>
      </c>
      <c r="I282" s="17">
        <v>132671.52631578947</v>
      </c>
      <c r="J282" s="17">
        <f t="shared" si="1"/>
        <v>10</v>
      </c>
    </row>
    <row r="283">
      <c r="A283" s="16">
        <v>43956.0</v>
      </c>
      <c r="B283" s="17" t="s">
        <v>20</v>
      </c>
      <c r="C283" s="17">
        <v>26367.0</v>
      </c>
      <c r="D283" s="17">
        <v>2380333.5</v>
      </c>
      <c r="E283" s="17">
        <v>19.0</v>
      </c>
      <c r="F283" s="17">
        <v>1622.0</v>
      </c>
      <c r="G283" s="17">
        <v>1482.0</v>
      </c>
      <c r="H283" s="17">
        <v>19.0</v>
      </c>
      <c r="I283" s="17">
        <v>125280.71052631579</v>
      </c>
      <c r="J283" s="17">
        <f t="shared" si="1"/>
        <v>9</v>
      </c>
    </row>
    <row r="284">
      <c r="A284" s="16">
        <v>43964.0</v>
      </c>
      <c r="B284" s="17" t="s">
        <v>20</v>
      </c>
      <c r="C284" s="17">
        <v>25539.0</v>
      </c>
      <c r="D284" s="17">
        <v>2263651.5</v>
      </c>
      <c r="E284" s="17">
        <v>19.0</v>
      </c>
      <c r="F284" s="17">
        <v>1605.0</v>
      </c>
      <c r="G284" s="17">
        <v>1447.0</v>
      </c>
      <c r="H284" s="17">
        <v>20.0</v>
      </c>
      <c r="I284" s="17">
        <v>119139.55263157895</v>
      </c>
      <c r="J284" s="17">
        <f t="shared" si="1"/>
        <v>10</v>
      </c>
    </row>
    <row r="285">
      <c r="A285" s="16">
        <v>43982.0</v>
      </c>
      <c r="B285" s="17" t="s">
        <v>19</v>
      </c>
      <c r="C285" s="17">
        <v>14808.0</v>
      </c>
      <c r="D285" s="17">
        <v>1336789.5</v>
      </c>
      <c r="E285" s="17">
        <v>16.0</v>
      </c>
      <c r="F285" s="17">
        <v>917.0</v>
      </c>
      <c r="G285" s="17">
        <v>802.0</v>
      </c>
      <c r="H285" s="17">
        <v>22.0</v>
      </c>
      <c r="I285" s="17">
        <v>83549.34375</v>
      </c>
      <c r="J285" s="17">
        <f t="shared" si="1"/>
        <v>13</v>
      </c>
    </row>
    <row r="286">
      <c r="A286" s="16">
        <v>43954.0</v>
      </c>
      <c r="B286" s="17" t="s">
        <v>20</v>
      </c>
      <c r="C286" s="17">
        <v>21343.5</v>
      </c>
      <c r="D286" s="17">
        <v>1906557.0</v>
      </c>
      <c r="E286" s="17">
        <v>19.0</v>
      </c>
      <c r="F286" s="17">
        <v>1314.0</v>
      </c>
      <c r="G286" s="17">
        <v>1192.0</v>
      </c>
      <c r="H286" s="17">
        <v>18.0</v>
      </c>
      <c r="I286" s="17">
        <v>100345.1052631579</v>
      </c>
      <c r="J286" s="17">
        <f t="shared" si="1"/>
        <v>10</v>
      </c>
    </row>
    <row r="287">
      <c r="A287" s="16">
        <v>43981.0</v>
      </c>
      <c r="B287" s="17" t="s">
        <v>19</v>
      </c>
      <c r="C287" s="17">
        <v>17946.0</v>
      </c>
      <c r="D287" s="17">
        <v>1609090.5</v>
      </c>
      <c r="E287" s="17">
        <v>16.0</v>
      </c>
      <c r="F287" s="17">
        <v>1048.0</v>
      </c>
      <c r="G287" s="17">
        <v>918.0</v>
      </c>
      <c r="H287" s="17">
        <v>22.0</v>
      </c>
      <c r="I287" s="17">
        <v>100568.15625</v>
      </c>
      <c r="J287" s="17">
        <f t="shared" si="1"/>
        <v>13</v>
      </c>
    </row>
    <row r="288">
      <c r="A288" s="16">
        <v>43957.0</v>
      </c>
      <c r="B288" s="17" t="s">
        <v>20</v>
      </c>
      <c r="C288" s="17">
        <v>24337.5</v>
      </c>
      <c r="D288" s="17">
        <v>2159350.5</v>
      </c>
      <c r="E288" s="17">
        <v>19.0</v>
      </c>
      <c r="F288" s="17">
        <v>1509.0</v>
      </c>
      <c r="G288" s="17">
        <v>1374.0</v>
      </c>
      <c r="H288" s="17">
        <v>19.0</v>
      </c>
      <c r="I288" s="17">
        <v>113650.02631578948</v>
      </c>
      <c r="J288" s="17">
        <f t="shared" si="1"/>
        <v>10</v>
      </c>
    </row>
    <row r="289">
      <c r="A289" s="16">
        <v>43974.0</v>
      </c>
      <c r="B289" s="17" t="s">
        <v>20</v>
      </c>
      <c r="C289" s="17">
        <v>36997.5</v>
      </c>
      <c r="D289" s="17">
        <v>3089140.5</v>
      </c>
      <c r="E289" s="17">
        <v>19.0</v>
      </c>
      <c r="F289" s="17">
        <v>2195.0</v>
      </c>
      <c r="G289" s="17">
        <v>1999.0</v>
      </c>
      <c r="H289" s="17">
        <v>21.0</v>
      </c>
      <c r="I289" s="17">
        <v>162586.34210526315</v>
      </c>
      <c r="J289" s="17">
        <f t="shared" si="1"/>
        <v>10</v>
      </c>
    </row>
    <row r="290">
      <c r="A290" s="16">
        <v>43979.0</v>
      </c>
      <c r="B290" s="17" t="s">
        <v>19</v>
      </c>
      <c r="C290" s="17">
        <v>13864.5</v>
      </c>
      <c r="D290" s="17">
        <v>1239747.0</v>
      </c>
      <c r="E290" s="17">
        <v>16.0</v>
      </c>
      <c r="F290" s="17">
        <v>876.0</v>
      </c>
      <c r="G290" s="17">
        <v>762.0</v>
      </c>
      <c r="H290" s="17">
        <v>22.0</v>
      </c>
      <c r="I290" s="17">
        <v>77484.1875</v>
      </c>
      <c r="J290" s="17">
        <f t="shared" si="1"/>
        <v>13</v>
      </c>
    </row>
    <row r="291">
      <c r="A291" s="16">
        <v>43976.0</v>
      </c>
      <c r="B291" s="17" t="s">
        <v>20</v>
      </c>
      <c r="C291" s="17">
        <v>28494.0</v>
      </c>
      <c r="D291" s="17">
        <v>2512803.0</v>
      </c>
      <c r="E291" s="17">
        <v>20.0</v>
      </c>
      <c r="F291" s="17">
        <v>1899.0</v>
      </c>
      <c r="G291" s="17">
        <v>1738.0</v>
      </c>
      <c r="H291" s="17">
        <v>22.0</v>
      </c>
      <c r="I291" s="17">
        <v>125640.15</v>
      </c>
      <c r="J291" s="17">
        <f t="shared" si="1"/>
        <v>10</v>
      </c>
    </row>
    <row r="292">
      <c r="A292" s="16">
        <v>43951.0</v>
      </c>
      <c r="B292" s="17" t="s">
        <v>20</v>
      </c>
      <c r="C292" s="17">
        <v>27883.5</v>
      </c>
      <c r="D292" s="17">
        <v>2560080.0</v>
      </c>
      <c r="E292" s="17">
        <v>19.0</v>
      </c>
      <c r="F292" s="17">
        <v>1662.0</v>
      </c>
      <c r="G292" s="17">
        <v>1506.0</v>
      </c>
      <c r="H292" s="17">
        <v>18.0</v>
      </c>
      <c r="I292" s="17">
        <v>134741.05263157896</v>
      </c>
      <c r="J292" s="17">
        <f t="shared" si="1"/>
        <v>9</v>
      </c>
    </row>
    <row r="293">
      <c r="A293" s="16">
        <v>43961.0</v>
      </c>
      <c r="B293" s="17" t="s">
        <v>20</v>
      </c>
      <c r="C293" s="17">
        <v>31224.0</v>
      </c>
      <c r="D293" s="17">
        <v>2767270.5</v>
      </c>
      <c r="E293" s="17">
        <v>19.0</v>
      </c>
      <c r="F293" s="17">
        <v>1836.0</v>
      </c>
      <c r="G293" s="17">
        <v>1680.0</v>
      </c>
      <c r="H293" s="17">
        <v>19.0</v>
      </c>
      <c r="I293" s="17">
        <v>145645.81578947368</v>
      </c>
      <c r="J293" s="17">
        <f t="shared" si="1"/>
        <v>10</v>
      </c>
    </row>
    <row r="294">
      <c r="A294" s="16">
        <v>43959.0</v>
      </c>
      <c r="B294" s="17" t="s">
        <v>20</v>
      </c>
      <c r="C294" s="17">
        <v>25020.0</v>
      </c>
      <c r="D294" s="17">
        <v>2235960.0</v>
      </c>
      <c r="E294" s="17">
        <v>19.0</v>
      </c>
      <c r="F294" s="17">
        <v>1520.0</v>
      </c>
      <c r="G294" s="17">
        <v>1380.0</v>
      </c>
      <c r="H294" s="17">
        <v>19.0</v>
      </c>
      <c r="I294" s="17">
        <v>117682.1052631579</v>
      </c>
      <c r="J294" s="17">
        <f t="shared" si="1"/>
        <v>10</v>
      </c>
    </row>
    <row r="295">
      <c r="A295" s="16">
        <v>43958.0</v>
      </c>
      <c r="B295" s="17" t="s">
        <v>20</v>
      </c>
      <c r="C295" s="17">
        <v>26184.0</v>
      </c>
      <c r="D295" s="17">
        <v>2308336.5</v>
      </c>
      <c r="E295" s="17">
        <v>19.0</v>
      </c>
      <c r="F295" s="17">
        <v>1580.0</v>
      </c>
      <c r="G295" s="17">
        <v>1435.0</v>
      </c>
      <c r="H295" s="17">
        <v>19.0</v>
      </c>
      <c r="I295" s="17">
        <v>121491.3947368421</v>
      </c>
      <c r="J295" s="17">
        <f t="shared" si="1"/>
        <v>10</v>
      </c>
    </row>
    <row r="296">
      <c r="A296" s="16">
        <v>43975.0</v>
      </c>
      <c r="B296" s="17" t="s">
        <v>20</v>
      </c>
      <c r="C296" s="17">
        <v>29824.5</v>
      </c>
      <c r="D296" s="17">
        <v>2526909.0</v>
      </c>
      <c r="E296" s="17">
        <v>19.0</v>
      </c>
      <c r="F296" s="17">
        <v>1868.0</v>
      </c>
      <c r="G296" s="17">
        <v>1706.0</v>
      </c>
      <c r="H296" s="17">
        <v>21.0</v>
      </c>
      <c r="I296" s="17">
        <v>132995.2105263158</v>
      </c>
      <c r="J296" s="17">
        <f t="shared" si="1"/>
        <v>10</v>
      </c>
    </row>
    <row r="297">
      <c r="A297" s="16">
        <v>43950.0</v>
      </c>
      <c r="B297" s="17" t="s">
        <v>21</v>
      </c>
      <c r="C297" s="17">
        <v>208351.5</v>
      </c>
      <c r="D297" s="17">
        <v>2.1615333E7</v>
      </c>
      <c r="E297" s="17">
        <v>59.0</v>
      </c>
      <c r="F297" s="17">
        <v>13186.0</v>
      </c>
      <c r="G297" s="17">
        <v>12251.0</v>
      </c>
      <c r="H297" s="17">
        <v>18.0</v>
      </c>
      <c r="I297" s="17">
        <v>366361.57627118647</v>
      </c>
      <c r="J297" s="17">
        <f t="shared" si="1"/>
        <v>3</v>
      </c>
    </row>
    <row r="298">
      <c r="A298" s="16">
        <v>43949.0</v>
      </c>
      <c r="B298" s="17" t="s">
        <v>21</v>
      </c>
      <c r="C298" s="17">
        <v>204637.5</v>
      </c>
      <c r="D298" s="17">
        <v>2.11148985E7</v>
      </c>
      <c r="E298" s="17">
        <v>59.0</v>
      </c>
      <c r="F298" s="17">
        <v>12943.0</v>
      </c>
      <c r="G298" s="17">
        <v>12072.0</v>
      </c>
      <c r="H298" s="17">
        <v>18.0</v>
      </c>
      <c r="I298" s="17">
        <v>357879.63559322036</v>
      </c>
      <c r="J298" s="17">
        <f t="shared" si="1"/>
        <v>3</v>
      </c>
    </row>
    <row r="299">
      <c r="A299" s="16">
        <v>43982.0</v>
      </c>
      <c r="B299" s="17" t="s">
        <v>20</v>
      </c>
      <c r="C299" s="17">
        <v>31372.5</v>
      </c>
      <c r="D299" s="17">
        <v>2794324.5</v>
      </c>
      <c r="E299" s="17">
        <v>21.0</v>
      </c>
      <c r="F299" s="17">
        <v>2056.0</v>
      </c>
      <c r="G299" s="17">
        <v>1879.0</v>
      </c>
      <c r="H299" s="17">
        <v>22.0</v>
      </c>
      <c r="I299" s="17">
        <v>133063.07142857142</v>
      </c>
      <c r="J299" s="17">
        <f t="shared" si="1"/>
        <v>10</v>
      </c>
    </row>
    <row r="300">
      <c r="A300" s="16">
        <v>43981.0</v>
      </c>
      <c r="B300" s="17" t="s">
        <v>20</v>
      </c>
      <c r="C300" s="17">
        <v>34681.5</v>
      </c>
      <c r="D300" s="17">
        <v>3005334.0</v>
      </c>
      <c r="E300" s="17">
        <v>20.0</v>
      </c>
      <c r="F300" s="17">
        <v>2174.0</v>
      </c>
      <c r="G300" s="17">
        <v>1957.0</v>
      </c>
      <c r="H300" s="17">
        <v>22.0</v>
      </c>
      <c r="I300" s="17">
        <v>150266.7</v>
      </c>
      <c r="J300" s="17">
        <f t="shared" si="1"/>
        <v>10</v>
      </c>
    </row>
    <row r="301">
      <c r="A301" s="16">
        <v>43979.0</v>
      </c>
      <c r="B301" s="17" t="s">
        <v>20</v>
      </c>
      <c r="C301" s="17">
        <v>28197.0</v>
      </c>
      <c r="D301" s="17">
        <v>2559211.5</v>
      </c>
      <c r="E301" s="17">
        <v>20.0</v>
      </c>
      <c r="F301" s="17">
        <v>1875.0</v>
      </c>
      <c r="G301" s="17">
        <v>1701.0</v>
      </c>
      <c r="H301" s="17">
        <v>22.0</v>
      </c>
      <c r="I301" s="17">
        <v>127960.575</v>
      </c>
      <c r="J301" s="17">
        <f t="shared" si="1"/>
        <v>10</v>
      </c>
    </row>
    <row r="302">
      <c r="A302" s="16">
        <v>43967.0</v>
      </c>
      <c r="B302" s="17" t="s">
        <v>21</v>
      </c>
      <c r="C302" s="17">
        <v>236551.5</v>
      </c>
      <c r="D302" s="17">
        <v>2.3689383E7</v>
      </c>
      <c r="E302" s="17">
        <v>60.0</v>
      </c>
      <c r="F302" s="17">
        <v>14049.0</v>
      </c>
      <c r="G302" s="17">
        <v>13118.0</v>
      </c>
      <c r="H302" s="17">
        <v>20.0</v>
      </c>
      <c r="I302" s="17">
        <v>394823.05</v>
      </c>
      <c r="J302" s="17">
        <f t="shared" si="1"/>
        <v>3</v>
      </c>
    </row>
    <row r="303">
      <c r="A303" s="16">
        <v>43970.0</v>
      </c>
      <c r="B303" s="17" t="s">
        <v>21</v>
      </c>
      <c r="C303" s="17">
        <v>223597.5</v>
      </c>
      <c r="D303" s="17">
        <v>2.1945858E7</v>
      </c>
      <c r="E303" s="17">
        <v>60.0</v>
      </c>
      <c r="F303" s="17">
        <v>13867.0</v>
      </c>
      <c r="G303" s="17">
        <v>12987.0</v>
      </c>
      <c r="H303" s="17">
        <v>21.0</v>
      </c>
      <c r="I303" s="17">
        <v>365764.3</v>
      </c>
      <c r="J303" s="17">
        <f t="shared" si="1"/>
        <v>3</v>
      </c>
    </row>
    <row r="304">
      <c r="A304" s="16">
        <v>43968.0</v>
      </c>
      <c r="B304" s="17" t="s">
        <v>21</v>
      </c>
      <c r="C304" s="17">
        <v>193363.5</v>
      </c>
      <c r="D304" s="17">
        <v>1.9546386E7</v>
      </c>
      <c r="E304" s="17">
        <v>60.0</v>
      </c>
      <c r="F304" s="17">
        <v>11698.0</v>
      </c>
      <c r="G304" s="17">
        <v>10989.0</v>
      </c>
      <c r="H304" s="17">
        <v>20.0</v>
      </c>
      <c r="I304" s="17">
        <v>325773.1</v>
      </c>
      <c r="J304" s="17">
        <f t="shared" si="1"/>
        <v>3</v>
      </c>
    </row>
    <row r="305">
      <c r="A305" s="16">
        <v>43960.0</v>
      </c>
      <c r="B305" s="17" t="s">
        <v>21</v>
      </c>
      <c r="C305" s="17">
        <v>188319.0</v>
      </c>
      <c r="D305" s="17">
        <v>1.92186315E7</v>
      </c>
      <c r="E305" s="17">
        <v>59.0</v>
      </c>
      <c r="F305" s="17">
        <v>12016.0</v>
      </c>
      <c r="G305" s="17">
        <v>11137.0</v>
      </c>
      <c r="H305" s="17">
        <v>19.0</v>
      </c>
      <c r="I305" s="17">
        <v>325739.5169491525</v>
      </c>
      <c r="J305" s="17">
        <f t="shared" si="1"/>
        <v>3</v>
      </c>
    </row>
    <row r="306">
      <c r="A306" s="16">
        <v>43955.0</v>
      </c>
      <c r="B306" s="17" t="s">
        <v>21</v>
      </c>
      <c r="C306" s="17">
        <v>237544.5</v>
      </c>
      <c r="D306" s="17">
        <v>2.4292218E7</v>
      </c>
      <c r="E306" s="17">
        <v>59.0</v>
      </c>
      <c r="F306" s="17">
        <v>14423.0</v>
      </c>
      <c r="G306" s="17">
        <v>13432.0</v>
      </c>
      <c r="H306" s="17">
        <v>19.0</v>
      </c>
      <c r="I306" s="17">
        <v>411732.5084745763</v>
      </c>
      <c r="J306" s="17">
        <f t="shared" si="1"/>
        <v>3</v>
      </c>
    </row>
    <row r="307">
      <c r="A307" s="16">
        <v>43950.0</v>
      </c>
      <c r="B307" s="17" t="s">
        <v>22</v>
      </c>
      <c r="C307" s="17">
        <v>203209.5</v>
      </c>
      <c r="D307" s="17">
        <v>2.08713915E7</v>
      </c>
      <c r="E307" s="17">
        <v>54.0</v>
      </c>
      <c r="F307" s="17">
        <v>12747.0</v>
      </c>
      <c r="G307" s="17">
        <v>11884.0</v>
      </c>
      <c r="H307" s="17">
        <v>18.0</v>
      </c>
      <c r="I307" s="17">
        <v>386507.25</v>
      </c>
      <c r="J307" s="17">
        <f t="shared" si="1"/>
        <v>4</v>
      </c>
    </row>
    <row r="308">
      <c r="A308" s="16">
        <v>43953.0</v>
      </c>
      <c r="B308" s="17" t="s">
        <v>21</v>
      </c>
      <c r="C308" s="17">
        <v>185979.0</v>
      </c>
      <c r="D308" s="17">
        <v>1.9625364E7</v>
      </c>
      <c r="E308" s="17">
        <v>59.0</v>
      </c>
      <c r="F308" s="17">
        <v>12429.0</v>
      </c>
      <c r="G308" s="17">
        <v>11477.0</v>
      </c>
      <c r="H308" s="17">
        <v>18.0</v>
      </c>
      <c r="I308" s="17">
        <v>332633.28813559323</v>
      </c>
      <c r="J308" s="17">
        <f t="shared" si="1"/>
        <v>3</v>
      </c>
    </row>
    <row r="309">
      <c r="A309" s="16">
        <v>43977.0</v>
      </c>
      <c r="B309" s="17" t="s">
        <v>21</v>
      </c>
      <c r="C309" s="17">
        <v>244905.0</v>
      </c>
      <c r="D309" s="17">
        <v>2.51634315E7</v>
      </c>
      <c r="E309" s="17">
        <v>59.0</v>
      </c>
      <c r="F309" s="17">
        <v>15369.0</v>
      </c>
      <c r="G309" s="17">
        <v>14299.0</v>
      </c>
      <c r="H309" s="17">
        <v>22.0</v>
      </c>
      <c r="I309" s="17">
        <v>426498.83898305084</v>
      </c>
      <c r="J309" s="17">
        <f t="shared" si="1"/>
        <v>3</v>
      </c>
    </row>
    <row r="310">
      <c r="A310" s="16">
        <v>43952.0</v>
      </c>
      <c r="B310" s="17" t="s">
        <v>21</v>
      </c>
      <c r="C310" s="17">
        <v>239409.0</v>
      </c>
      <c r="D310" s="17">
        <v>2.5413351E7</v>
      </c>
      <c r="E310" s="17">
        <v>59.0</v>
      </c>
      <c r="F310" s="17">
        <v>15222.0</v>
      </c>
      <c r="G310" s="17">
        <v>13873.0</v>
      </c>
      <c r="H310" s="17">
        <v>18.0</v>
      </c>
      <c r="I310" s="17">
        <v>430734.76271186443</v>
      </c>
      <c r="J310" s="17">
        <f t="shared" si="1"/>
        <v>3</v>
      </c>
    </row>
    <row r="311">
      <c r="A311" s="16">
        <v>43963.0</v>
      </c>
      <c r="B311" s="17" t="s">
        <v>21</v>
      </c>
      <c r="C311" s="17">
        <v>192886.5</v>
      </c>
      <c r="D311" s="17">
        <v>1.92051795E7</v>
      </c>
      <c r="E311" s="17">
        <v>60.0</v>
      </c>
      <c r="F311" s="17">
        <v>12000.0</v>
      </c>
      <c r="G311" s="17">
        <v>11194.0</v>
      </c>
      <c r="H311" s="17">
        <v>20.0</v>
      </c>
      <c r="I311" s="17">
        <v>320086.325</v>
      </c>
      <c r="J311" s="17">
        <f t="shared" si="1"/>
        <v>3</v>
      </c>
    </row>
    <row r="312">
      <c r="A312" s="16">
        <v>43972.0</v>
      </c>
      <c r="B312" s="17" t="s">
        <v>21</v>
      </c>
      <c r="C312" s="17">
        <v>224233.5</v>
      </c>
      <c r="D312" s="17">
        <v>2.2253295E7</v>
      </c>
      <c r="E312" s="17">
        <v>60.0</v>
      </c>
      <c r="F312" s="17">
        <v>14005.0</v>
      </c>
      <c r="G312" s="17">
        <v>13002.0</v>
      </c>
      <c r="H312" s="17">
        <v>21.0</v>
      </c>
      <c r="I312" s="17">
        <v>370888.25</v>
      </c>
      <c r="J312" s="17">
        <f t="shared" si="1"/>
        <v>3</v>
      </c>
    </row>
    <row r="313">
      <c r="A313" s="16">
        <v>43971.0</v>
      </c>
      <c r="B313" s="17" t="s">
        <v>21</v>
      </c>
      <c r="C313" s="17">
        <v>219622.5</v>
      </c>
      <c r="D313" s="17">
        <v>2.1959286E7</v>
      </c>
      <c r="E313" s="17">
        <v>60.0</v>
      </c>
      <c r="F313" s="17">
        <v>13792.0</v>
      </c>
      <c r="G313" s="17">
        <v>12834.0</v>
      </c>
      <c r="H313" s="17">
        <v>21.0</v>
      </c>
      <c r="I313" s="17">
        <v>365988.1</v>
      </c>
      <c r="J313" s="17">
        <f t="shared" si="1"/>
        <v>3</v>
      </c>
    </row>
    <row r="314">
      <c r="A314" s="16">
        <v>43956.0</v>
      </c>
      <c r="B314" s="17" t="s">
        <v>21</v>
      </c>
      <c r="C314" s="17">
        <v>213582.0</v>
      </c>
      <c r="D314" s="17">
        <v>2.19194355E7</v>
      </c>
      <c r="E314" s="17">
        <v>59.0</v>
      </c>
      <c r="F314" s="17">
        <v>13469.0</v>
      </c>
      <c r="G314" s="17">
        <v>12486.0</v>
      </c>
      <c r="H314" s="17">
        <v>19.0</v>
      </c>
      <c r="I314" s="17">
        <v>371515.8559322034</v>
      </c>
      <c r="J314" s="17">
        <f t="shared" si="1"/>
        <v>3</v>
      </c>
    </row>
    <row r="315">
      <c r="A315" s="16">
        <v>43949.0</v>
      </c>
      <c r="B315" s="17" t="s">
        <v>22</v>
      </c>
      <c r="C315" s="17">
        <v>195705.0</v>
      </c>
      <c r="D315" s="17">
        <v>2.00032635E7</v>
      </c>
      <c r="E315" s="17">
        <v>54.0</v>
      </c>
      <c r="F315" s="17">
        <v>12306.0</v>
      </c>
      <c r="G315" s="17">
        <v>11532.0</v>
      </c>
      <c r="H315" s="17">
        <v>18.0</v>
      </c>
      <c r="I315" s="17">
        <v>370430.80555555556</v>
      </c>
      <c r="J315" s="17">
        <f t="shared" si="1"/>
        <v>4</v>
      </c>
    </row>
    <row r="316">
      <c r="A316" s="16">
        <v>43964.0</v>
      </c>
      <c r="B316" s="17" t="s">
        <v>21</v>
      </c>
      <c r="C316" s="17">
        <v>193722.0</v>
      </c>
      <c r="D316" s="17">
        <v>1.9437273E7</v>
      </c>
      <c r="E316" s="17">
        <v>60.0</v>
      </c>
      <c r="F316" s="17">
        <v>12007.0</v>
      </c>
      <c r="G316" s="17">
        <v>11245.0</v>
      </c>
      <c r="H316" s="17">
        <v>20.0</v>
      </c>
      <c r="I316" s="17">
        <v>323954.55</v>
      </c>
      <c r="J316" s="17">
        <f t="shared" si="1"/>
        <v>3</v>
      </c>
    </row>
    <row r="317">
      <c r="A317" s="16">
        <v>43954.0</v>
      </c>
      <c r="B317" s="17" t="s">
        <v>21</v>
      </c>
      <c r="C317" s="17">
        <v>257215.5</v>
      </c>
      <c r="D317" s="17">
        <v>2.64922785E7</v>
      </c>
      <c r="E317" s="17">
        <v>59.0</v>
      </c>
      <c r="F317" s="17">
        <v>15277.0</v>
      </c>
      <c r="G317" s="17">
        <v>14163.0</v>
      </c>
      <c r="H317" s="17">
        <v>18.0</v>
      </c>
      <c r="I317" s="17">
        <v>449021.66949152545</v>
      </c>
      <c r="J317" s="17">
        <f t="shared" si="1"/>
        <v>3</v>
      </c>
    </row>
    <row r="318">
      <c r="A318" s="16">
        <v>43957.0</v>
      </c>
      <c r="B318" s="17" t="s">
        <v>21</v>
      </c>
      <c r="C318" s="17">
        <v>224779.5</v>
      </c>
      <c r="D318" s="17">
        <v>2.3032992E7</v>
      </c>
      <c r="E318" s="17">
        <v>59.0</v>
      </c>
      <c r="F318" s="17">
        <v>14103.0</v>
      </c>
      <c r="G318" s="17">
        <v>13118.0</v>
      </c>
      <c r="H318" s="17">
        <v>19.0</v>
      </c>
      <c r="I318" s="17">
        <v>390389.69491525425</v>
      </c>
      <c r="J318" s="17">
        <f t="shared" si="1"/>
        <v>3</v>
      </c>
    </row>
    <row r="319">
      <c r="A319" s="16">
        <v>43974.0</v>
      </c>
      <c r="B319" s="17" t="s">
        <v>21</v>
      </c>
      <c r="C319" s="17">
        <v>292018.5</v>
      </c>
      <c r="D319" s="17">
        <v>2.85909105E7</v>
      </c>
      <c r="E319" s="17">
        <v>60.0</v>
      </c>
      <c r="F319" s="17">
        <v>17295.0</v>
      </c>
      <c r="G319" s="17">
        <v>16010.0</v>
      </c>
      <c r="H319" s="17">
        <v>21.0</v>
      </c>
      <c r="I319" s="17">
        <v>476515.175</v>
      </c>
      <c r="J319" s="17">
        <f t="shared" si="1"/>
        <v>3</v>
      </c>
    </row>
    <row r="320">
      <c r="A320" s="16">
        <v>43976.0</v>
      </c>
      <c r="B320" s="17" t="s">
        <v>21</v>
      </c>
      <c r="C320" s="17">
        <v>198751.5</v>
      </c>
      <c r="D320" s="17">
        <v>2.05827435E7</v>
      </c>
      <c r="E320" s="17">
        <v>59.0</v>
      </c>
      <c r="F320" s="17">
        <v>12983.0</v>
      </c>
      <c r="G320" s="17">
        <v>12056.0</v>
      </c>
      <c r="H320" s="17">
        <v>22.0</v>
      </c>
      <c r="I320" s="17">
        <v>348860.0593220339</v>
      </c>
      <c r="J320" s="17">
        <f t="shared" si="1"/>
        <v>3</v>
      </c>
    </row>
    <row r="321">
      <c r="A321" s="16">
        <v>43951.0</v>
      </c>
      <c r="B321" s="17" t="s">
        <v>21</v>
      </c>
      <c r="C321" s="17">
        <v>214386.0</v>
      </c>
      <c r="D321" s="17">
        <v>2.253E7</v>
      </c>
      <c r="E321" s="17">
        <v>59.0</v>
      </c>
      <c r="F321" s="17">
        <v>13251.0</v>
      </c>
      <c r="G321" s="17">
        <v>12255.0</v>
      </c>
      <c r="H321" s="17">
        <v>18.0</v>
      </c>
      <c r="I321" s="17">
        <v>381864.406779661</v>
      </c>
      <c r="J321" s="17">
        <f t="shared" si="1"/>
        <v>3</v>
      </c>
    </row>
    <row r="322">
      <c r="A322" s="16">
        <v>43961.0</v>
      </c>
      <c r="B322" s="17" t="s">
        <v>21</v>
      </c>
      <c r="C322" s="17">
        <v>243825.0</v>
      </c>
      <c r="D322" s="17">
        <v>2.48904045E7</v>
      </c>
      <c r="E322" s="17">
        <v>59.0</v>
      </c>
      <c r="F322" s="17">
        <v>14569.0</v>
      </c>
      <c r="G322" s="17">
        <v>13566.0</v>
      </c>
      <c r="H322" s="17">
        <v>19.0</v>
      </c>
      <c r="I322" s="17">
        <v>421871.26271186443</v>
      </c>
      <c r="J322" s="17">
        <f t="shared" si="1"/>
        <v>3</v>
      </c>
    </row>
    <row r="323">
      <c r="A323" s="16">
        <v>43959.0</v>
      </c>
      <c r="B323" s="17" t="s">
        <v>21</v>
      </c>
      <c r="C323" s="17">
        <v>232701.0</v>
      </c>
      <c r="D323" s="17">
        <v>2.38819485E7</v>
      </c>
      <c r="E323" s="17">
        <v>59.0</v>
      </c>
      <c r="F323" s="17">
        <v>14098.0</v>
      </c>
      <c r="G323" s="17">
        <v>13106.0</v>
      </c>
      <c r="H323" s="17">
        <v>19.0</v>
      </c>
      <c r="I323" s="17">
        <v>404778.78813559323</v>
      </c>
      <c r="J323" s="17">
        <f t="shared" si="1"/>
        <v>3</v>
      </c>
    </row>
    <row r="324">
      <c r="A324" s="16">
        <v>43958.0</v>
      </c>
      <c r="B324" s="17" t="s">
        <v>21</v>
      </c>
      <c r="C324" s="17">
        <v>219411.0</v>
      </c>
      <c r="D324" s="17">
        <v>2.246013E7</v>
      </c>
      <c r="E324" s="17">
        <v>59.0</v>
      </c>
      <c r="F324" s="17">
        <v>13495.0</v>
      </c>
      <c r="G324" s="17">
        <v>12517.0</v>
      </c>
      <c r="H324" s="17">
        <v>19.0</v>
      </c>
      <c r="I324" s="17">
        <v>380680.16949152545</v>
      </c>
      <c r="J324" s="17">
        <f t="shared" si="1"/>
        <v>3</v>
      </c>
    </row>
    <row r="325">
      <c r="A325" s="16">
        <v>43975.0</v>
      </c>
      <c r="B325" s="17" t="s">
        <v>21</v>
      </c>
      <c r="C325" s="17">
        <v>200029.5</v>
      </c>
      <c r="D325" s="17">
        <v>1.9959801E7</v>
      </c>
      <c r="E325" s="17">
        <v>60.0</v>
      </c>
      <c r="F325" s="17">
        <v>12822.0</v>
      </c>
      <c r="G325" s="17">
        <v>11916.0</v>
      </c>
      <c r="H325" s="17">
        <v>21.0</v>
      </c>
      <c r="I325" s="17">
        <v>332663.35</v>
      </c>
      <c r="J325" s="17">
        <f t="shared" si="1"/>
        <v>3</v>
      </c>
    </row>
    <row r="326">
      <c r="A326" s="16">
        <v>43967.0</v>
      </c>
      <c r="B326" s="17" t="s">
        <v>22</v>
      </c>
      <c r="C326" s="17">
        <v>225480.0</v>
      </c>
      <c r="D326" s="17">
        <v>2.23553385E7</v>
      </c>
      <c r="E326" s="17">
        <v>54.0</v>
      </c>
      <c r="F326" s="17">
        <v>13170.0</v>
      </c>
      <c r="G326" s="17">
        <v>12299.0</v>
      </c>
      <c r="H326" s="17">
        <v>20.0</v>
      </c>
      <c r="I326" s="17">
        <v>413987.75</v>
      </c>
      <c r="J326" s="17">
        <f t="shared" si="1"/>
        <v>4</v>
      </c>
    </row>
    <row r="327">
      <c r="A327" s="16">
        <v>43970.0</v>
      </c>
      <c r="B327" s="17" t="s">
        <v>22</v>
      </c>
      <c r="C327" s="17">
        <v>211453.5</v>
      </c>
      <c r="D327" s="17">
        <v>2.05900725E7</v>
      </c>
      <c r="E327" s="17">
        <v>54.0</v>
      </c>
      <c r="F327" s="17">
        <v>13070.0</v>
      </c>
      <c r="G327" s="17">
        <v>12244.0</v>
      </c>
      <c r="H327" s="17">
        <v>21.0</v>
      </c>
      <c r="I327" s="17">
        <v>381297.6388888889</v>
      </c>
      <c r="J327" s="17">
        <f t="shared" si="1"/>
        <v>4</v>
      </c>
    </row>
    <row r="328">
      <c r="A328" s="16">
        <v>43968.0</v>
      </c>
      <c r="B328" s="17" t="s">
        <v>22</v>
      </c>
      <c r="C328" s="17">
        <v>184801.5</v>
      </c>
      <c r="D328" s="17">
        <v>1.8449091E7</v>
      </c>
      <c r="E328" s="17">
        <v>54.0</v>
      </c>
      <c r="F328" s="17">
        <v>11128.0</v>
      </c>
      <c r="G328" s="17">
        <v>10467.0</v>
      </c>
      <c r="H328" s="17">
        <v>20.0</v>
      </c>
      <c r="I328" s="17">
        <v>341649.8333333333</v>
      </c>
      <c r="J328" s="17">
        <f t="shared" si="1"/>
        <v>4</v>
      </c>
    </row>
    <row r="329">
      <c r="A329" s="16">
        <v>43960.0</v>
      </c>
      <c r="B329" s="17" t="s">
        <v>22</v>
      </c>
      <c r="C329" s="17">
        <v>177976.5</v>
      </c>
      <c r="D329" s="17">
        <v>1.80857985E7</v>
      </c>
      <c r="E329" s="17">
        <v>54.0</v>
      </c>
      <c r="F329" s="17">
        <v>11288.0</v>
      </c>
      <c r="G329" s="17">
        <v>10492.0</v>
      </c>
      <c r="H329" s="17">
        <v>19.0</v>
      </c>
      <c r="I329" s="17">
        <v>334922.19444444444</v>
      </c>
      <c r="J329" s="17">
        <f t="shared" si="1"/>
        <v>4</v>
      </c>
    </row>
    <row r="330">
      <c r="A330" s="16">
        <v>43955.0</v>
      </c>
      <c r="B330" s="17" t="s">
        <v>22</v>
      </c>
      <c r="C330" s="17">
        <v>223617.0</v>
      </c>
      <c r="D330" s="17">
        <v>2.27968275E7</v>
      </c>
      <c r="E330" s="17">
        <v>54.0</v>
      </c>
      <c r="F330" s="17">
        <v>13606.0</v>
      </c>
      <c r="G330" s="17">
        <v>12697.0</v>
      </c>
      <c r="H330" s="17">
        <v>19.0</v>
      </c>
      <c r="I330" s="17">
        <v>422163.47222222225</v>
      </c>
      <c r="J330" s="17">
        <f t="shared" si="1"/>
        <v>4</v>
      </c>
    </row>
    <row r="331">
      <c r="A331" s="16">
        <v>43953.0</v>
      </c>
      <c r="B331" s="17" t="s">
        <v>22</v>
      </c>
      <c r="C331" s="17">
        <v>176397.0</v>
      </c>
      <c r="D331" s="17">
        <v>1.86259215E7</v>
      </c>
      <c r="E331" s="17">
        <v>54.0</v>
      </c>
      <c r="F331" s="17">
        <v>11622.0</v>
      </c>
      <c r="G331" s="17">
        <v>10754.0</v>
      </c>
      <c r="H331" s="17">
        <v>18.0</v>
      </c>
      <c r="I331" s="17">
        <v>344924.47222222225</v>
      </c>
      <c r="J331" s="17">
        <f t="shared" si="1"/>
        <v>4</v>
      </c>
    </row>
    <row r="332">
      <c r="A332" s="16">
        <v>43977.0</v>
      </c>
      <c r="B332" s="17" t="s">
        <v>22</v>
      </c>
      <c r="C332" s="17">
        <v>232369.5</v>
      </c>
      <c r="D332" s="17">
        <v>2.3856345E7</v>
      </c>
      <c r="E332" s="17">
        <v>54.0</v>
      </c>
      <c r="F332" s="17">
        <v>14482.0</v>
      </c>
      <c r="G332" s="17">
        <v>13510.0</v>
      </c>
      <c r="H332" s="17">
        <v>22.0</v>
      </c>
      <c r="I332" s="17">
        <v>441784.1666666667</v>
      </c>
      <c r="J332" s="17">
        <f t="shared" si="1"/>
        <v>4</v>
      </c>
    </row>
    <row r="333">
      <c r="A333" s="16">
        <v>43952.0</v>
      </c>
      <c r="B333" s="17" t="s">
        <v>22</v>
      </c>
      <c r="C333" s="17">
        <v>226540.5</v>
      </c>
      <c r="D333" s="17">
        <v>2.3953536E7</v>
      </c>
      <c r="E333" s="17">
        <v>54.0</v>
      </c>
      <c r="F333" s="17">
        <v>14205.0</v>
      </c>
      <c r="G333" s="17">
        <v>13026.0</v>
      </c>
      <c r="H333" s="17">
        <v>18.0</v>
      </c>
      <c r="I333" s="17">
        <v>443584.0</v>
      </c>
      <c r="J333" s="17">
        <f t="shared" si="1"/>
        <v>4</v>
      </c>
    </row>
    <row r="334">
      <c r="A334" s="16">
        <v>43963.0</v>
      </c>
      <c r="B334" s="17" t="s">
        <v>22</v>
      </c>
      <c r="C334" s="17">
        <v>189679.5</v>
      </c>
      <c r="D334" s="17">
        <v>1.87180365E7</v>
      </c>
      <c r="E334" s="17">
        <v>54.0</v>
      </c>
      <c r="F334" s="17">
        <v>11614.0</v>
      </c>
      <c r="G334" s="17">
        <v>10862.0</v>
      </c>
      <c r="H334" s="17">
        <v>20.0</v>
      </c>
      <c r="I334" s="17">
        <v>346630.30555555556</v>
      </c>
      <c r="J334" s="17">
        <f t="shared" si="1"/>
        <v>4</v>
      </c>
    </row>
    <row r="335">
      <c r="A335" s="16">
        <v>43972.0</v>
      </c>
      <c r="B335" s="17" t="s">
        <v>22</v>
      </c>
      <c r="C335" s="17">
        <v>213640.5</v>
      </c>
      <c r="D335" s="17">
        <v>2.10426735E7</v>
      </c>
      <c r="E335" s="17">
        <v>54.0</v>
      </c>
      <c r="F335" s="17">
        <v>13240.0</v>
      </c>
      <c r="G335" s="17">
        <v>12360.0</v>
      </c>
      <c r="H335" s="17">
        <v>21.0</v>
      </c>
      <c r="I335" s="17">
        <v>389679.1388888889</v>
      </c>
      <c r="J335" s="17">
        <f t="shared" si="1"/>
        <v>4</v>
      </c>
    </row>
    <row r="336">
      <c r="A336" s="16">
        <v>43971.0</v>
      </c>
      <c r="B336" s="17" t="s">
        <v>22</v>
      </c>
      <c r="C336" s="17">
        <v>214885.5</v>
      </c>
      <c r="D336" s="17">
        <v>2.14113495E7</v>
      </c>
      <c r="E336" s="17">
        <v>54.0</v>
      </c>
      <c r="F336" s="17">
        <v>13298.0</v>
      </c>
      <c r="G336" s="17">
        <v>12428.0</v>
      </c>
      <c r="H336" s="17">
        <v>21.0</v>
      </c>
      <c r="I336" s="17">
        <v>396506.47222222225</v>
      </c>
      <c r="J336" s="17">
        <f t="shared" si="1"/>
        <v>4</v>
      </c>
    </row>
    <row r="337">
      <c r="A337" s="16">
        <v>43956.0</v>
      </c>
      <c r="B337" s="17" t="s">
        <v>22</v>
      </c>
      <c r="C337" s="17">
        <v>203832.0</v>
      </c>
      <c r="D337" s="17">
        <v>2.08801425E7</v>
      </c>
      <c r="E337" s="17">
        <v>54.0</v>
      </c>
      <c r="F337" s="17">
        <v>12775.0</v>
      </c>
      <c r="G337" s="17">
        <v>11887.0</v>
      </c>
      <c r="H337" s="17">
        <v>19.0</v>
      </c>
      <c r="I337" s="17">
        <v>386669.30555555556</v>
      </c>
      <c r="J337" s="17">
        <f t="shared" si="1"/>
        <v>4</v>
      </c>
    </row>
    <row r="338">
      <c r="A338" s="16">
        <v>43964.0</v>
      </c>
      <c r="B338" s="17" t="s">
        <v>22</v>
      </c>
      <c r="C338" s="17">
        <v>188662.5</v>
      </c>
      <c r="D338" s="17">
        <v>1.87840005E7</v>
      </c>
      <c r="E338" s="17">
        <v>54.0</v>
      </c>
      <c r="F338" s="17">
        <v>11522.0</v>
      </c>
      <c r="G338" s="17">
        <v>10803.0</v>
      </c>
      <c r="H338" s="17">
        <v>20.0</v>
      </c>
      <c r="I338" s="17">
        <v>347851.8611111111</v>
      </c>
      <c r="J338" s="17">
        <f t="shared" si="1"/>
        <v>4</v>
      </c>
    </row>
    <row r="339">
      <c r="A339" s="16">
        <v>43982.0</v>
      </c>
      <c r="B339" s="17" t="s">
        <v>21</v>
      </c>
      <c r="C339" s="17">
        <v>215277.0</v>
      </c>
      <c r="D339" s="17">
        <v>2.15853165E7</v>
      </c>
      <c r="E339" s="17">
        <v>59.0</v>
      </c>
      <c r="F339" s="17">
        <v>13684.0</v>
      </c>
      <c r="G339" s="17">
        <v>12690.0</v>
      </c>
      <c r="H339" s="17">
        <v>22.0</v>
      </c>
      <c r="I339" s="17">
        <v>365852.8220338983</v>
      </c>
      <c r="J339" s="17">
        <f t="shared" si="1"/>
        <v>3</v>
      </c>
    </row>
    <row r="340">
      <c r="A340" s="16">
        <v>43954.0</v>
      </c>
      <c r="B340" s="17" t="s">
        <v>22</v>
      </c>
      <c r="C340" s="17">
        <v>248148.0</v>
      </c>
      <c r="D340" s="17">
        <v>2.55190725E7</v>
      </c>
      <c r="E340" s="17">
        <v>54.0</v>
      </c>
      <c r="F340" s="17">
        <v>14823.0</v>
      </c>
      <c r="G340" s="17">
        <v>13751.0</v>
      </c>
      <c r="H340" s="17">
        <v>18.0</v>
      </c>
      <c r="I340" s="17">
        <v>472575.4166666667</v>
      </c>
      <c r="J340" s="17">
        <f t="shared" si="1"/>
        <v>4</v>
      </c>
    </row>
    <row r="341">
      <c r="A341" s="16">
        <v>43981.0</v>
      </c>
      <c r="B341" s="17" t="s">
        <v>21</v>
      </c>
      <c r="C341" s="17">
        <v>246414.0</v>
      </c>
      <c r="D341" s="17">
        <v>2.45272455E7</v>
      </c>
      <c r="E341" s="17">
        <v>59.0</v>
      </c>
      <c r="F341" s="17">
        <v>15030.0</v>
      </c>
      <c r="G341" s="17">
        <v>13956.0</v>
      </c>
      <c r="H341" s="17">
        <v>22.0</v>
      </c>
      <c r="I341" s="17">
        <v>415716.0254237288</v>
      </c>
      <c r="J341" s="17">
        <f t="shared" si="1"/>
        <v>3</v>
      </c>
    </row>
    <row r="342">
      <c r="A342" s="16">
        <v>43957.0</v>
      </c>
      <c r="B342" s="17" t="s">
        <v>22</v>
      </c>
      <c r="C342" s="17">
        <v>216498.0</v>
      </c>
      <c r="D342" s="17">
        <v>2.21264445E7</v>
      </c>
      <c r="E342" s="17">
        <v>54.0</v>
      </c>
      <c r="F342" s="17">
        <v>13406.0</v>
      </c>
      <c r="G342" s="17">
        <v>12518.0</v>
      </c>
      <c r="H342" s="17">
        <v>19.0</v>
      </c>
      <c r="I342" s="17">
        <v>409748.97222222225</v>
      </c>
      <c r="J342" s="17">
        <f t="shared" si="1"/>
        <v>4</v>
      </c>
    </row>
    <row r="343">
      <c r="A343" s="16">
        <v>43974.0</v>
      </c>
      <c r="B343" s="17" t="s">
        <v>22</v>
      </c>
      <c r="C343" s="17">
        <v>275793.0</v>
      </c>
      <c r="D343" s="17">
        <v>2.6806626E7</v>
      </c>
      <c r="E343" s="17">
        <v>54.0</v>
      </c>
      <c r="F343" s="17">
        <v>16221.0</v>
      </c>
      <c r="G343" s="17">
        <v>15065.0</v>
      </c>
      <c r="H343" s="17">
        <v>21.0</v>
      </c>
      <c r="I343" s="17">
        <v>496419.0</v>
      </c>
      <c r="J343" s="17">
        <f t="shared" si="1"/>
        <v>4</v>
      </c>
    </row>
    <row r="344">
      <c r="A344" s="16">
        <v>43979.0</v>
      </c>
      <c r="B344" s="17" t="s">
        <v>21</v>
      </c>
      <c r="C344" s="17">
        <v>199753.5</v>
      </c>
      <c r="D344" s="17">
        <v>2.05357335E7</v>
      </c>
      <c r="E344" s="17">
        <v>60.0</v>
      </c>
      <c r="F344" s="17">
        <v>12854.0</v>
      </c>
      <c r="G344" s="17">
        <v>11954.0</v>
      </c>
      <c r="H344" s="17">
        <v>22.0</v>
      </c>
      <c r="I344" s="17">
        <v>342262.225</v>
      </c>
      <c r="J344" s="17">
        <f t="shared" si="1"/>
        <v>3</v>
      </c>
    </row>
    <row r="345">
      <c r="A345" s="16">
        <v>43976.0</v>
      </c>
      <c r="B345" s="17" t="s">
        <v>22</v>
      </c>
      <c r="C345" s="17">
        <v>192948.0</v>
      </c>
      <c r="D345" s="17">
        <v>1.9806927E7</v>
      </c>
      <c r="E345" s="17">
        <v>54.0</v>
      </c>
      <c r="F345" s="17">
        <v>12336.0</v>
      </c>
      <c r="G345" s="17">
        <v>11519.0</v>
      </c>
      <c r="H345" s="17">
        <v>22.0</v>
      </c>
      <c r="I345" s="17">
        <v>366794.94444444444</v>
      </c>
      <c r="J345" s="17">
        <f t="shared" si="1"/>
        <v>4</v>
      </c>
    </row>
    <row r="346">
      <c r="A346" s="16">
        <v>43951.0</v>
      </c>
      <c r="B346" s="17" t="s">
        <v>22</v>
      </c>
      <c r="C346" s="17">
        <v>206038.5</v>
      </c>
      <c r="D346" s="17">
        <v>2.174046E7</v>
      </c>
      <c r="E346" s="17">
        <v>54.0</v>
      </c>
      <c r="F346" s="17">
        <v>12817.0</v>
      </c>
      <c r="G346" s="17">
        <v>11865.0</v>
      </c>
      <c r="H346" s="17">
        <v>18.0</v>
      </c>
      <c r="I346" s="17">
        <v>402601.1111111111</v>
      </c>
      <c r="J346" s="17">
        <f t="shared" si="1"/>
        <v>4</v>
      </c>
    </row>
    <row r="347">
      <c r="A347" s="16">
        <v>43961.0</v>
      </c>
      <c r="B347" s="17" t="s">
        <v>22</v>
      </c>
      <c r="C347" s="17">
        <v>231559.5</v>
      </c>
      <c r="D347" s="17">
        <v>2.3443725E7</v>
      </c>
      <c r="E347" s="17">
        <v>54.0</v>
      </c>
      <c r="F347" s="17">
        <v>13832.0</v>
      </c>
      <c r="G347" s="17">
        <v>12864.0</v>
      </c>
      <c r="H347" s="17">
        <v>19.0</v>
      </c>
      <c r="I347" s="17">
        <v>434143.05555555556</v>
      </c>
      <c r="J347" s="17">
        <f t="shared" si="1"/>
        <v>4</v>
      </c>
    </row>
    <row r="348">
      <c r="A348" s="16">
        <v>43959.0</v>
      </c>
      <c r="B348" s="17" t="s">
        <v>22</v>
      </c>
      <c r="C348" s="17">
        <v>225076.5</v>
      </c>
      <c r="D348" s="17">
        <v>2.28460785E7</v>
      </c>
      <c r="E348" s="17">
        <v>54.0</v>
      </c>
      <c r="F348" s="17">
        <v>13563.0</v>
      </c>
      <c r="G348" s="17">
        <v>12604.0</v>
      </c>
      <c r="H348" s="17">
        <v>19.0</v>
      </c>
      <c r="I348" s="17">
        <v>423075.52777777775</v>
      </c>
      <c r="J348" s="17">
        <f t="shared" si="1"/>
        <v>4</v>
      </c>
    </row>
    <row r="349">
      <c r="A349" s="16">
        <v>43958.0</v>
      </c>
      <c r="B349" s="17" t="s">
        <v>22</v>
      </c>
      <c r="C349" s="17">
        <v>209415.0</v>
      </c>
      <c r="D349" s="17">
        <v>2.1463023E7</v>
      </c>
      <c r="E349" s="17">
        <v>54.0</v>
      </c>
      <c r="F349" s="17">
        <v>12743.0</v>
      </c>
      <c r="G349" s="17">
        <v>11858.0</v>
      </c>
      <c r="H349" s="17">
        <v>19.0</v>
      </c>
      <c r="I349" s="17">
        <v>397463.3888888889</v>
      </c>
      <c r="J349" s="17">
        <f t="shared" si="1"/>
        <v>4</v>
      </c>
    </row>
    <row r="350">
      <c r="A350" s="16">
        <v>43975.0</v>
      </c>
      <c r="B350" s="17" t="s">
        <v>22</v>
      </c>
      <c r="C350" s="17">
        <v>193719.0</v>
      </c>
      <c r="D350" s="17">
        <v>1.9071117E7</v>
      </c>
      <c r="E350" s="17">
        <v>54.0</v>
      </c>
      <c r="F350" s="17">
        <v>12211.0</v>
      </c>
      <c r="G350" s="17">
        <v>11427.0</v>
      </c>
      <c r="H350" s="17">
        <v>21.0</v>
      </c>
      <c r="I350" s="17">
        <v>353168.8333333333</v>
      </c>
      <c r="J350" s="17">
        <f t="shared" si="1"/>
        <v>4</v>
      </c>
    </row>
    <row r="351">
      <c r="A351" s="16">
        <v>43950.0</v>
      </c>
      <c r="B351" s="17" t="s">
        <v>23</v>
      </c>
      <c r="C351" s="17">
        <v>12250.5</v>
      </c>
      <c r="D351" s="17">
        <v>981519.0</v>
      </c>
      <c r="E351" s="17">
        <v>15.0</v>
      </c>
      <c r="F351" s="17">
        <v>659.0</v>
      </c>
      <c r="G351" s="17">
        <v>575.0</v>
      </c>
      <c r="H351" s="17">
        <v>18.0</v>
      </c>
      <c r="I351" s="17">
        <v>65434.6</v>
      </c>
      <c r="J351" s="17">
        <f t="shared" si="1"/>
        <v>12</v>
      </c>
    </row>
    <row r="352">
      <c r="A352" s="16">
        <v>43949.0</v>
      </c>
      <c r="B352" s="17" t="s">
        <v>23</v>
      </c>
      <c r="C352" s="17">
        <v>12541.5</v>
      </c>
      <c r="D352" s="17">
        <v>992541.0</v>
      </c>
      <c r="E352" s="17">
        <v>15.0</v>
      </c>
      <c r="F352" s="17">
        <v>636.0</v>
      </c>
      <c r="G352" s="17">
        <v>547.0</v>
      </c>
      <c r="H352" s="17">
        <v>18.0</v>
      </c>
      <c r="I352" s="17">
        <v>66169.4</v>
      </c>
      <c r="J352" s="17">
        <f t="shared" si="1"/>
        <v>12</v>
      </c>
    </row>
    <row r="353">
      <c r="A353" s="16">
        <v>43982.0</v>
      </c>
      <c r="B353" s="17" t="s">
        <v>22</v>
      </c>
      <c r="C353" s="17">
        <v>206758.5</v>
      </c>
      <c r="D353" s="17">
        <v>2.07172485E7</v>
      </c>
      <c r="E353" s="17">
        <v>54.0</v>
      </c>
      <c r="F353" s="17">
        <v>13106.0</v>
      </c>
      <c r="G353" s="17">
        <v>12164.0</v>
      </c>
      <c r="H353" s="17">
        <v>22.0</v>
      </c>
      <c r="I353" s="17">
        <v>383652.75</v>
      </c>
      <c r="J353" s="17">
        <f t="shared" si="1"/>
        <v>4</v>
      </c>
    </row>
    <row r="354">
      <c r="A354" s="16">
        <v>43981.0</v>
      </c>
      <c r="B354" s="17" t="s">
        <v>22</v>
      </c>
      <c r="C354" s="17">
        <v>244734.0</v>
      </c>
      <c r="D354" s="17">
        <v>2.415198E7</v>
      </c>
      <c r="E354" s="17">
        <v>54.0</v>
      </c>
      <c r="F354" s="17">
        <v>14590.0</v>
      </c>
      <c r="G354" s="17">
        <v>13551.0</v>
      </c>
      <c r="H354" s="17">
        <v>22.0</v>
      </c>
      <c r="I354" s="17">
        <v>447258.8888888889</v>
      </c>
      <c r="J354" s="17">
        <f t="shared" si="1"/>
        <v>4</v>
      </c>
    </row>
    <row r="355">
      <c r="A355" s="16">
        <v>43979.0</v>
      </c>
      <c r="B355" s="17" t="s">
        <v>22</v>
      </c>
      <c r="C355" s="17">
        <v>191641.5</v>
      </c>
      <c r="D355" s="17">
        <v>1.95490365E7</v>
      </c>
      <c r="E355" s="17">
        <v>54.0</v>
      </c>
      <c r="F355" s="17">
        <v>12409.0</v>
      </c>
      <c r="G355" s="17">
        <v>11582.0</v>
      </c>
      <c r="H355" s="17">
        <v>22.0</v>
      </c>
      <c r="I355" s="17">
        <v>362019.19444444444</v>
      </c>
      <c r="J355" s="17">
        <f t="shared" si="1"/>
        <v>4</v>
      </c>
    </row>
    <row r="356">
      <c r="A356" s="16">
        <v>43967.0</v>
      </c>
      <c r="B356" s="17" t="s">
        <v>23</v>
      </c>
      <c r="C356" s="17">
        <v>16368.0</v>
      </c>
      <c r="D356" s="17">
        <v>1316350.5</v>
      </c>
      <c r="E356" s="17">
        <v>16.0</v>
      </c>
      <c r="F356" s="17">
        <v>920.0</v>
      </c>
      <c r="G356" s="17">
        <v>818.0</v>
      </c>
      <c r="H356" s="17">
        <v>20.0</v>
      </c>
      <c r="I356" s="17">
        <v>82271.90625</v>
      </c>
      <c r="J356" s="17">
        <f t="shared" si="1"/>
        <v>12</v>
      </c>
    </row>
    <row r="357">
      <c r="A357" s="16">
        <v>43970.0</v>
      </c>
      <c r="B357" s="17" t="s">
        <v>23</v>
      </c>
      <c r="C357" s="17">
        <v>14427.0</v>
      </c>
      <c r="D357" s="17">
        <v>1126810.5</v>
      </c>
      <c r="E357" s="17">
        <v>17.0</v>
      </c>
      <c r="F357" s="17">
        <v>857.0</v>
      </c>
      <c r="G357" s="17">
        <v>757.0</v>
      </c>
      <c r="H357" s="17">
        <v>21.0</v>
      </c>
      <c r="I357" s="17">
        <v>66282.9705882353</v>
      </c>
      <c r="J357" s="17">
        <f t="shared" si="1"/>
        <v>13</v>
      </c>
    </row>
    <row r="358">
      <c r="A358" s="16">
        <v>43968.0</v>
      </c>
      <c r="B358" s="17" t="s">
        <v>23</v>
      </c>
      <c r="C358" s="17">
        <v>13440.0</v>
      </c>
      <c r="D358" s="17">
        <v>1157529.0</v>
      </c>
      <c r="E358" s="17">
        <v>16.0</v>
      </c>
      <c r="F358" s="17">
        <v>859.0</v>
      </c>
      <c r="G358" s="17">
        <v>746.0</v>
      </c>
      <c r="H358" s="17">
        <v>20.0</v>
      </c>
      <c r="I358" s="17">
        <v>72345.5625</v>
      </c>
      <c r="J358" s="17">
        <f t="shared" si="1"/>
        <v>12</v>
      </c>
    </row>
    <row r="359">
      <c r="A359" s="16">
        <v>43960.0</v>
      </c>
      <c r="B359" s="17" t="s">
        <v>23</v>
      </c>
      <c r="C359" s="17">
        <v>11745.0</v>
      </c>
      <c r="D359" s="17">
        <v>955801.5</v>
      </c>
      <c r="E359" s="17">
        <v>15.0</v>
      </c>
      <c r="F359" s="17">
        <v>654.0</v>
      </c>
      <c r="G359" s="17">
        <v>570.0</v>
      </c>
      <c r="H359" s="17">
        <v>19.0</v>
      </c>
      <c r="I359" s="17">
        <v>63720.1</v>
      </c>
      <c r="J359" s="17">
        <f t="shared" si="1"/>
        <v>14</v>
      </c>
    </row>
    <row r="360">
      <c r="A360" s="16">
        <v>43955.0</v>
      </c>
      <c r="B360" s="17" t="s">
        <v>23</v>
      </c>
      <c r="C360" s="17">
        <v>11062.5</v>
      </c>
      <c r="D360" s="17">
        <v>906343.5</v>
      </c>
      <c r="E360" s="17">
        <v>15.0</v>
      </c>
      <c r="F360" s="17">
        <v>622.0</v>
      </c>
      <c r="G360" s="17">
        <v>538.0</v>
      </c>
      <c r="H360" s="17">
        <v>19.0</v>
      </c>
      <c r="I360" s="17">
        <v>60422.9</v>
      </c>
      <c r="J360" s="17">
        <f t="shared" si="1"/>
        <v>12</v>
      </c>
    </row>
    <row r="361">
      <c r="A361" s="16">
        <v>43953.0</v>
      </c>
      <c r="B361" s="17" t="s">
        <v>23</v>
      </c>
      <c r="C361" s="17">
        <v>10018.5</v>
      </c>
      <c r="D361" s="17">
        <v>816859.5</v>
      </c>
      <c r="E361" s="17">
        <v>15.0</v>
      </c>
      <c r="F361" s="17">
        <v>567.0</v>
      </c>
      <c r="G361" s="17">
        <v>493.0</v>
      </c>
      <c r="H361" s="17">
        <v>18.0</v>
      </c>
      <c r="I361" s="17">
        <v>54457.3</v>
      </c>
      <c r="J361" s="17">
        <f t="shared" si="1"/>
        <v>12</v>
      </c>
    </row>
    <row r="362">
      <c r="A362" s="16">
        <v>43977.0</v>
      </c>
      <c r="B362" s="17" t="s">
        <v>24</v>
      </c>
      <c r="C362" s="17">
        <v>10437.0</v>
      </c>
      <c r="D362" s="17">
        <v>833815.5</v>
      </c>
      <c r="E362" s="17">
        <v>7.0</v>
      </c>
      <c r="F362" s="17">
        <v>577.0</v>
      </c>
      <c r="G362" s="17">
        <v>389.0</v>
      </c>
      <c r="H362" s="17">
        <v>22.0</v>
      </c>
      <c r="I362" s="17">
        <v>119116.5</v>
      </c>
      <c r="J362" s="17">
        <f t="shared" si="1"/>
        <v>15</v>
      </c>
    </row>
    <row r="363">
      <c r="A363" s="16">
        <v>43952.0</v>
      </c>
      <c r="B363" s="17" t="s">
        <v>23</v>
      </c>
      <c r="C363" s="17">
        <v>13644.0</v>
      </c>
      <c r="D363" s="17">
        <v>1134444.0</v>
      </c>
      <c r="E363" s="17">
        <v>15.0</v>
      </c>
      <c r="F363" s="17">
        <v>721.0</v>
      </c>
      <c r="G363" s="17">
        <v>625.0</v>
      </c>
      <c r="H363" s="17">
        <v>18.0</v>
      </c>
      <c r="I363" s="17">
        <v>75629.6</v>
      </c>
      <c r="J363" s="17">
        <f t="shared" si="1"/>
        <v>12</v>
      </c>
    </row>
    <row r="364">
      <c r="A364" s="16">
        <v>43963.0</v>
      </c>
      <c r="B364" s="17" t="s">
        <v>23</v>
      </c>
      <c r="C364" s="17">
        <v>13443.0</v>
      </c>
      <c r="D364" s="17">
        <v>1092277.5</v>
      </c>
      <c r="E364" s="17">
        <v>15.0</v>
      </c>
      <c r="F364" s="17">
        <v>750.0</v>
      </c>
      <c r="G364" s="17">
        <v>659.0</v>
      </c>
      <c r="H364" s="17">
        <v>20.0</v>
      </c>
      <c r="I364" s="17">
        <v>72818.5</v>
      </c>
      <c r="J364" s="17">
        <f t="shared" si="1"/>
        <v>12</v>
      </c>
    </row>
    <row r="365">
      <c r="A365" s="16">
        <v>43972.0</v>
      </c>
      <c r="B365" s="17" t="s">
        <v>23</v>
      </c>
      <c r="C365" s="17">
        <v>14182.5</v>
      </c>
      <c r="D365" s="17">
        <v>1172574.0</v>
      </c>
      <c r="E365" s="17">
        <v>18.0</v>
      </c>
      <c r="F365" s="17">
        <v>888.0</v>
      </c>
      <c r="G365" s="17">
        <v>786.0</v>
      </c>
      <c r="H365" s="17">
        <v>21.0</v>
      </c>
      <c r="I365" s="17">
        <v>65143.0</v>
      </c>
      <c r="J365" s="17">
        <f t="shared" si="1"/>
        <v>12</v>
      </c>
    </row>
    <row r="366">
      <c r="A366" s="16">
        <v>43971.0</v>
      </c>
      <c r="B366" s="17" t="s">
        <v>23</v>
      </c>
      <c r="C366" s="17">
        <v>14928.0</v>
      </c>
      <c r="D366" s="17">
        <v>1217749.5</v>
      </c>
      <c r="E366" s="17">
        <v>17.0</v>
      </c>
      <c r="F366" s="17">
        <v>890.0</v>
      </c>
      <c r="G366" s="17">
        <v>794.0</v>
      </c>
      <c r="H366" s="17">
        <v>21.0</v>
      </c>
      <c r="I366" s="17">
        <v>71632.32352941176</v>
      </c>
      <c r="J366" s="17">
        <f t="shared" si="1"/>
        <v>12</v>
      </c>
    </row>
    <row r="367">
      <c r="A367" s="16">
        <v>43956.0</v>
      </c>
      <c r="B367" s="17" t="s">
        <v>23</v>
      </c>
      <c r="C367" s="17">
        <v>13941.0</v>
      </c>
      <c r="D367" s="17">
        <v>1145575.5</v>
      </c>
      <c r="E367" s="17">
        <v>15.0</v>
      </c>
      <c r="F367" s="17">
        <v>750.0</v>
      </c>
      <c r="G367" s="17">
        <v>658.0</v>
      </c>
      <c r="H367" s="17">
        <v>19.0</v>
      </c>
      <c r="I367" s="17">
        <v>76371.7</v>
      </c>
      <c r="J367" s="17">
        <f t="shared" si="1"/>
        <v>12</v>
      </c>
    </row>
    <row r="368">
      <c r="A368" s="16">
        <v>43964.0</v>
      </c>
      <c r="B368" s="17" t="s">
        <v>23</v>
      </c>
      <c r="C368" s="17">
        <v>14643.0</v>
      </c>
      <c r="D368" s="17">
        <v>1172691.0</v>
      </c>
      <c r="E368" s="17">
        <v>15.0</v>
      </c>
      <c r="F368" s="17">
        <v>854.0</v>
      </c>
      <c r="G368" s="17">
        <v>756.0</v>
      </c>
      <c r="H368" s="17">
        <v>20.0</v>
      </c>
      <c r="I368" s="17">
        <v>78179.4</v>
      </c>
      <c r="J368" s="17">
        <f t="shared" si="1"/>
        <v>12</v>
      </c>
    </row>
    <row r="369">
      <c r="A369" s="16">
        <v>43954.0</v>
      </c>
      <c r="B369" s="17" t="s">
        <v>23</v>
      </c>
      <c r="C369" s="17">
        <v>10032.0</v>
      </c>
      <c r="D369" s="17">
        <v>816150.0</v>
      </c>
      <c r="E369" s="17">
        <v>15.0</v>
      </c>
      <c r="F369" s="17">
        <v>585.0</v>
      </c>
      <c r="G369" s="17">
        <v>502.0</v>
      </c>
      <c r="H369" s="17">
        <v>18.0</v>
      </c>
      <c r="I369" s="17">
        <v>54410.0</v>
      </c>
      <c r="J369" s="17">
        <f t="shared" si="1"/>
        <v>12</v>
      </c>
    </row>
    <row r="370">
      <c r="A370" s="16">
        <v>43957.0</v>
      </c>
      <c r="B370" s="17" t="s">
        <v>23</v>
      </c>
      <c r="C370" s="17">
        <v>12468.0</v>
      </c>
      <c r="D370" s="17">
        <v>1016566.5</v>
      </c>
      <c r="E370" s="17">
        <v>15.0</v>
      </c>
      <c r="F370" s="17">
        <v>701.0</v>
      </c>
      <c r="G370" s="17">
        <v>611.0</v>
      </c>
      <c r="H370" s="17">
        <v>19.0</v>
      </c>
      <c r="I370" s="17">
        <v>67771.1</v>
      </c>
      <c r="J370" s="17">
        <f t="shared" si="1"/>
        <v>12</v>
      </c>
    </row>
    <row r="371">
      <c r="A371" s="16">
        <v>43974.0</v>
      </c>
      <c r="B371" s="17" t="s">
        <v>23</v>
      </c>
      <c r="C371" s="17">
        <v>17943.0</v>
      </c>
      <c r="D371" s="17">
        <v>1457391.0</v>
      </c>
      <c r="E371" s="17">
        <v>18.0</v>
      </c>
      <c r="F371" s="17">
        <v>1031.0</v>
      </c>
      <c r="G371" s="17">
        <v>918.0</v>
      </c>
      <c r="H371" s="17">
        <v>21.0</v>
      </c>
      <c r="I371" s="17">
        <v>80966.16666666667</v>
      </c>
      <c r="J371" s="17">
        <f t="shared" si="1"/>
        <v>12</v>
      </c>
    </row>
    <row r="372">
      <c r="A372" s="16">
        <v>43976.0</v>
      </c>
      <c r="B372" s="17" t="s">
        <v>23</v>
      </c>
      <c r="C372" s="17">
        <v>15807.0</v>
      </c>
      <c r="D372" s="17">
        <v>1326705.0</v>
      </c>
      <c r="E372" s="17">
        <v>18.0</v>
      </c>
      <c r="F372" s="17">
        <v>989.0</v>
      </c>
      <c r="G372" s="17">
        <v>887.0</v>
      </c>
      <c r="H372" s="17">
        <v>22.0</v>
      </c>
      <c r="I372" s="17">
        <v>73705.83333333333</v>
      </c>
      <c r="J372" s="17">
        <f t="shared" si="1"/>
        <v>12</v>
      </c>
    </row>
    <row r="373">
      <c r="A373" s="16">
        <v>43951.0</v>
      </c>
      <c r="B373" s="17" t="s">
        <v>23</v>
      </c>
      <c r="C373" s="17">
        <v>11976.0</v>
      </c>
      <c r="D373" s="17">
        <v>1004511.0</v>
      </c>
      <c r="E373" s="17">
        <v>15.0</v>
      </c>
      <c r="F373" s="17">
        <v>644.0</v>
      </c>
      <c r="G373" s="17">
        <v>550.0</v>
      </c>
      <c r="H373" s="17">
        <v>18.0</v>
      </c>
      <c r="I373" s="17">
        <v>66967.4</v>
      </c>
      <c r="J373" s="17">
        <f t="shared" si="1"/>
        <v>12</v>
      </c>
    </row>
    <row r="374">
      <c r="A374" s="16">
        <v>43961.0</v>
      </c>
      <c r="B374" s="17" t="s">
        <v>23</v>
      </c>
      <c r="C374" s="17">
        <v>14566.5</v>
      </c>
      <c r="D374" s="17">
        <v>1216557.0</v>
      </c>
      <c r="E374" s="17">
        <v>15.0</v>
      </c>
      <c r="F374" s="17">
        <v>792.0</v>
      </c>
      <c r="G374" s="17">
        <v>695.0</v>
      </c>
      <c r="H374" s="17">
        <v>19.0</v>
      </c>
      <c r="I374" s="17">
        <v>81103.8</v>
      </c>
      <c r="J374" s="17">
        <f t="shared" si="1"/>
        <v>12</v>
      </c>
    </row>
    <row r="375">
      <c r="A375" s="16">
        <v>43959.0</v>
      </c>
      <c r="B375" s="17" t="s">
        <v>23</v>
      </c>
      <c r="C375" s="17">
        <v>12976.5</v>
      </c>
      <c r="D375" s="17">
        <v>1046848.5</v>
      </c>
      <c r="E375" s="17">
        <v>15.0</v>
      </c>
      <c r="F375" s="17">
        <v>703.0</v>
      </c>
      <c r="G375" s="17">
        <v>609.0</v>
      </c>
      <c r="H375" s="17">
        <v>19.0</v>
      </c>
      <c r="I375" s="17">
        <v>69789.9</v>
      </c>
      <c r="J375" s="17">
        <f t="shared" si="1"/>
        <v>12</v>
      </c>
    </row>
    <row r="376">
      <c r="A376" s="16">
        <v>43958.0</v>
      </c>
      <c r="B376" s="17" t="s">
        <v>23</v>
      </c>
      <c r="C376" s="17">
        <v>11719.5</v>
      </c>
      <c r="D376" s="17">
        <v>965880.0</v>
      </c>
      <c r="E376" s="17">
        <v>15.0</v>
      </c>
      <c r="F376" s="17">
        <v>676.0</v>
      </c>
      <c r="G376" s="17">
        <v>591.0</v>
      </c>
      <c r="H376" s="17">
        <v>19.0</v>
      </c>
      <c r="I376" s="17">
        <v>64392.0</v>
      </c>
      <c r="J376" s="17">
        <f t="shared" si="1"/>
        <v>12</v>
      </c>
    </row>
    <row r="377">
      <c r="A377" s="16">
        <v>43975.0</v>
      </c>
      <c r="B377" s="17" t="s">
        <v>23</v>
      </c>
      <c r="C377" s="17">
        <v>17197.5</v>
      </c>
      <c r="D377" s="17">
        <v>1386262.5</v>
      </c>
      <c r="E377" s="17">
        <v>18.0</v>
      </c>
      <c r="F377" s="17">
        <v>1006.0</v>
      </c>
      <c r="G377" s="17">
        <v>904.0</v>
      </c>
      <c r="H377" s="17">
        <v>21.0</v>
      </c>
      <c r="I377" s="17">
        <v>77014.58333333333</v>
      </c>
      <c r="J377" s="17">
        <f t="shared" si="1"/>
        <v>12</v>
      </c>
    </row>
    <row r="378">
      <c r="A378" s="16">
        <v>43977.0</v>
      </c>
      <c r="B378" s="17" t="s">
        <v>23</v>
      </c>
      <c r="C378" s="17">
        <v>14419.5</v>
      </c>
      <c r="D378" s="17">
        <v>1210456.5</v>
      </c>
      <c r="E378" s="17">
        <v>18.0</v>
      </c>
      <c r="F378" s="17">
        <v>914.0</v>
      </c>
      <c r="G378" s="17">
        <v>804.0</v>
      </c>
      <c r="H378" s="17">
        <v>22.0</v>
      </c>
      <c r="I378" s="17">
        <v>67247.58333333333</v>
      </c>
      <c r="J378" s="17">
        <f t="shared" si="1"/>
        <v>12</v>
      </c>
    </row>
    <row r="379">
      <c r="A379" s="16">
        <v>43983.0</v>
      </c>
      <c r="B379" s="17" t="s">
        <v>9</v>
      </c>
      <c r="C379" s="17">
        <v>7816.5</v>
      </c>
      <c r="D379" s="17">
        <v>636345.0</v>
      </c>
      <c r="E379" s="17">
        <v>15.0</v>
      </c>
      <c r="F379" s="17">
        <v>453.0</v>
      </c>
      <c r="G379" s="17">
        <v>370.0</v>
      </c>
      <c r="H379" s="17">
        <v>23.0</v>
      </c>
      <c r="I379" s="17">
        <v>42423.0</v>
      </c>
      <c r="J379" s="17">
        <f t="shared" si="1"/>
        <v>16</v>
      </c>
    </row>
    <row r="380">
      <c r="A380" s="16">
        <v>43982.0</v>
      </c>
      <c r="B380" s="17" t="s">
        <v>25</v>
      </c>
      <c r="C380" s="17">
        <v>6409.5</v>
      </c>
      <c r="D380" s="17">
        <v>493893.0</v>
      </c>
      <c r="E380" s="17">
        <v>9.0</v>
      </c>
      <c r="F380" s="17">
        <v>345.0</v>
      </c>
      <c r="G380" s="17">
        <v>255.0</v>
      </c>
      <c r="H380" s="17">
        <v>22.0</v>
      </c>
      <c r="I380" s="17">
        <v>54877.0</v>
      </c>
      <c r="J380" s="17">
        <f t="shared" si="1"/>
        <v>17</v>
      </c>
    </row>
    <row r="381">
      <c r="A381" s="16">
        <v>43981.0</v>
      </c>
      <c r="B381" s="17" t="s">
        <v>24</v>
      </c>
      <c r="C381" s="17">
        <v>11220.0</v>
      </c>
      <c r="D381" s="17">
        <v>928675.5</v>
      </c>
      <c r="E381" s="17">
        <v>7.0</v>
      </c>
      <c r="F381" s="17">
        <v>532.0</v>
      </c>
      <c r="G381" s="17">
        <v>449.0</v>
      </c>
      <c r="H381" s="17">
        <v>22.0</v>
      </c>
      <c r="I381" s="17">
        <v>132667.92857142858</v>
      </c>
      <c r="J381" s="17">
        <f t="shared" si="1"/>
        <v>15</v>
      </c>
    </row>
    <row r="382">
      <c r="A382" s="16">
        <v>43980.0</v>
      </c>
      <c r="B382" s="17" t="s">
        <v>9</v>
      </c>
      <c r="C382" s="17">
        <v>8350.5</v>
      </c>
      <c r="D382" s="17">
        <v>651237.0</v>
      </c>
      <c r="E382" s="17">
        <v>15.0</v>
      </c>
      <c r="F382" s="17">
        <v>400.0</v>
      </c>
      <c r="G382" s="17">
        <v>329.0</v>
      </c>
      <c r="H382" s="17">
        <v>22.0</v>
      </c>
      <c r="I382" s="17">
        <v>43415.8</v>
      </c>
      <c r="J382" s="17">
        <f t="shared" si="1"/>
        <v>16</v>
      </c>
    </row>
    <row r="383">
      <c r="A383" s="16">
        <v>43979.0</v>
      </c>
      <c r="B383" s="17" t="s">
        <v>24</v>
      </c>
      <c r="C383" s="17">
        <v>8428.5</v>
      </c>
      <c r="D383" s="17">
        <v>694669.5</v>
      </c>
      <c r="E383" s="17">
        <v>7.0</v>
      </c>
      <c r="F383" s="17">
        <v>420.0</v>
      </c>
      <c r="G383" s="17">
        <v>347.0</v>
      </c>
      <c r="H383" s="17">
        <v>22.0</v>
      </c>
      <c r="I383" s="17">
        <v>99238.5</v>
      </c>
      <c r="J383" s="17">
        <f t="shared" si="1"/>
        <v>15</v>
      </c>
    </row>
    <row r="384">
      <c r="A384" s="16">
        <v>43978.0</v>
      </c>
      <c r="B384" s="17" t="s">
        <v>10</v>
      </c>
      <c r="C384" s="17">
        <v>32817.0</v>
      </c>
      <c r="D384" s="17">
        <v>3015751.5</v>
      </c>
      <c r="E384" s="17">
        <v>20.0</v>
      </c>
      <c r="F384" s="17">
        <v>2079.0</v>
      </c>
      <c r="G384" s="17">
        <v>1893.0</v>
      </c>
      <c r="H384" s="17">
        <v>22.0</v>
      </c>
      <c r="I384" s="17">
        <v>150787.575</v>
      </c>
      <c r="J384" s="17">
        <f t="shared" si="1"/>
        <v>8</v>
      </c>
    </row>
    <row r="385">
      <c r="A385" s="16">
        <v>43973.0</v>
      </c>
      <c r="B385" s="17" t="s">
        <v>10</v>
      </c>
      <c r="C385" s="17">
        <v>36031.5</v>
      </c>
      <c r="D385" s="17">
        <v>3091069.5</v>
      </c>
      <c r="E385" s="17">
        <v>21.0</v>
      </c>
      <c r="F385" s="17">
        <v>2046.0</v>
      </c>
      <c r="G385" s="17">
        <v>1853.0</v>
      </c>
      <c r="H385" s="17">
        <v>21.0</v>
      </c>
      <c r="I385" s="17">
        <v>147193.7857142857</v>
      </c>
      <c r="J385" s="17">
        <f t="shared" si="1"/>
        <v>9</v>
      </c>
    </row>
    <row r="386">
      <c r="A386" s="16">
        <v>43982.0</v>
      </c>
      <c r="B386" s="17" t="s">
        <v>26</v>
      </c>
      <c r="C386" s="17">
        <v>5127.0</v>
      </c>
      <c r="D386" s="17">
        <v>468835.5</v>
      </c>
      <c r="E386" s="17">
        <v>6.0</v>
      </c>
      <c r="F386" s="17">
        <v>261.0</v>
      </c>
      <c r="G386" s="17">
        <v>188.0</v>
      </c>
      <c r="H386" s="17">
        <v>22.0</v>
      </c>
      <c r="I386" s="17">
        <v>78139.25</v>
      </c>
      <c r="J386" s="17">
        <f t="shared" si="1"/>
        <v>18</v>
      </c>
    </row>
    <row r="387">
      <c r="A387" s="16">
        <v>43962.0</v>
      </c>
      <c r="B387" s="17" t="s">
        <v>10</v>
      </c>
      <c r="C387" s="17">
        <v>27187.5</v>
      </c>
      <c r="D387" s="17">
        <v>2479396.5</v>
      </c>
      <c r="E387" s="17">
        <v>21.0</v>
      </c>
      <c r="F387" s="17">
        <v>1597.0</v>
      </c>
      <c r="G387" s="17">
        <v>1457.0</v>
      </c>
      <c r="H387" s="17">
        <v>20.0</v>
      </c>
      <c r="I387" s="17">
        <v>118066.5</v>
      </c>
      <c r="J387" s="17">
        <f t="shared" si="1"/>
        <v>9</v>
      </c>
    </row>
    <row r="388">
      <c r="A388" s="16">
        <v>43981.0</v>
      </c>
      <c r="B388" s="17" t="s">
        <v>23</v>
      </c>
      <c r="C388" s="17">
        <v>20688.0</v>
      </c>
      <c r="D388" s="17">
        <v>1773154.5</v>
      </c>
      <c r="E388" s="17">
        <v>18.0</v>
      </c>
      <c r="F388" s="17">
        <v>1216.0</v>
      </c>
      <c r="G388" s="17">
        <v>1101.0</v>
      </c>
      <c r="H388" s="17">
        <v>22.0</v>
      </c>
      <c r="I388" s="17">
        <v>98508.58333333333</v>
      </c>
      <c r="J388" s="17">
        <f t="shared" si="1"/>
        <v>12</v>
      </c>
    </row>
    <row r="389">
      <c r="A389" s="16">
        <v>43979.0</v>
      </c>
      <c r="B389" s="17" t="s">
        <v>23</v>
      </c>
      <c r="C389" s="17">
        <v>15678.0</v>
      </c>
      <c r="D389" s="17">
        <v>1387443.0</v>
      </c>
      <c r="E389" s="17">
        <v>18.0</v>
      </c>
      <c r="F389" s="17">
        <v>1020.0</v>
      </c>
      <c r="G389" s="17">
        <v>911.0</v>
      </c>
      <c r="H389" s="17">
        <v>22.0</v>
      </c>
      <c r="I389" s="17">
        <v>77080.16666666667</v>
      </c>
      <c r="J389" s="17">
        <f t="shared" si="1"/>
        <v>12</v>
      </c>
    </row>
    <row r="390">
      <c r="A390" s="16">
        <v>43969.0</v>
      </c>
      <c r="B390" s="17" t="s">
        <v>10</v>
      </c>
      <c r="C390" s="17">
        <v>31329.0</v>
      </c>
      <c r="D390" s="17">
        <v>2826379.5</v>
      </c>
      <c r="E390" s="17">
        <v>21.0</v>
      </c>
      <c r="F390" s="17">
        <v>1834.0</v>
      </c>
      <c r="G390" s="17">
        <v>1660.0</v>
      </c>
      <c r="H390" s="17">
        <v>21.0</v>
      </c>
      <c r="I390" s="17">
        <v>134589.5</v>
      </c>
      <c r="J390" s="17">
        <f t="shared" si="1"/>
        <v>8</v>
      </c>
    </row>
    <row r="391">
      <c r="A391" s="16">
        <v>43965.0</v>
      </c>
      <c r="B391" s="17" t="s">
        <v>10</v>
      </c>
      <c r="C391" s="17">
        <v>29658.0</v>
      </c>
      <c r="D391" s="17">
        <v>2703132.0</v>
      </c>
      <c r="E391" s="17">
        <v>21.0</v>
      </c>
      <c r="F391" s="17">
        <v>1706.0</v>
      </c>
      <c r="G391" s="17">
        <v>1548.0</v>
      </c>
      <c r="H391" s="17">
        <v>20.0</v>
      </c>
      <c r="I391" s="17">
        <v>128720.57142857143</v>
      </c>
      <c r="J391" s="17">
        <f t="shared" si="1"/>
        <v>8</v>
      </c>
    </row>
    <row r="392">
      <c r="A392" s="16">
        <v>43966.0</v>
      </c>
      <c r="B392" s="17" t="s">
        <v>10</v>
      </c>
      <c r="C392" s="17">
        <v>34150.5</v>
      </c>
      <c r="D392" s="17">
        <v>3038293.5</v>
      </c>
      <c r="E392" s="17">
        <v>21.0</v>
      </c>
      <c r="F392" s="17">
        <v>1926.0</v>
      </c>
      <c r="G392" s="17">
        <v>1742.0</v>
      </c>
      <c r="H392" s="17">
        <v>20.0</v>
      </c>
      <c r="I392" s="17">
        <v>144680.64285714287</v>
      </c>
      <c r="J392" s="17">
        <f t="shared" si="1"/>
        <v>8</v>
      </c>
    </row>
    <row r="393">
      <c r="A393" s="16">
        <v>43983.0</v>
      </c>
      <c r="B393" s="17" t="s">
        <v>10</v>
      </c>
      <c r="C393" s="17">
        <v>31947.0</v>
      </c>
      <c r="D393" s="17">
        <v>2945035.5</v>
      </c>
      <c r="E393" s="17">
        <v>21.0</v>
      </c>
      <c r="F393" s="17">
        <v>2025.0</v>
      </c>
      <c r="G393" s="17">
        <v>1849.0</v>
      </c>
      <c r="H393" s="17">
        <v>23.0</v>
      </c>
      <c r="I393" s="17">
        <v>140239.7857142857</v>
      </c>
      <c r="J393" s="17">
        <f t="shared" si="1"/>
        <v>9</v>
      </c>
    </row>
    <row r="394">
      <c r="A394" s="16">
        <v>43982.0</v>
      </c>
      <c r="B394" s="17" t="s">
        <v>24</v>
      </c>
      <c r="C394" s="17">
        <v>10416.0</v>
      </c>
      <c r="D394" s="17">
        <v>866023.5</v>
      </c>
      <c r="E394" s="17">
        <v>7.0</v>
      </c>
      <c r="F394" s="17">
        <v>530.0</v>
      </c>
      <c r="G394" s="17">
        <v>447.0</v>
      </c>
      <c r="H394" s="17">
        <v>22.0</v>
      </c>
      <c r="I394" s="17">
        <v>123717.64285714286</v>
      </c>
      <c r="J394" s="17">
        <f t="shared" si="1"/>
        <v>15</v>
      </c>
    </row>
    <row r="395">
      <c r="A395" s="16">
        <v>43980.0</v>
      </c>
      <c r="B395" s="17" t="s">
        <v>10</v>
      </c>
      <c r="C395" s="17">
        <v>35431.5</v>
      </c>
      <c r="D395" s="17">
        <v>3193167.0</v>
      </c>
      <c r="E395" s="17">
        <v>20.0</v>
      </c>
      <c r="F395" s="17">
        <v>2111.0</v>
      </c>
      <c r="G395" s="17">
        <v>1917.0</v>
      </c>
      <c r="H395" s="17">
        <v>22.0</v>
      </c>
      <c r="I395" s="17">
        <v>159658.35</v>
      </c>
      <c r="J395" s="17">
        <f t="shared" si="1"/>
        <v>9</v>
      </c>
    </row>
    <row r="396">
      <c r="A396" s="16">
        <v>43978.0</v>
      </c>
      <c r="B396" s="17" t="s">
        <v>11</v>
      </c>
      <c r="C396" s="17">
        <v>78544.5</v>
      </c>
      <c r="D396" s="17">
        <v>6701083.5</v>
      </c>
      <c r="E396" s="17">
        <v>31.0</v>
      </c>
      <c r="F396" s="17">
        <v>5330.0</v>
      </c>
      <c r="G396" s="17">
        <v>4977.0</v>
      </c>
      <c r="H396" s="17">
        <v>22.0</v>
      </c>
      <c r="I396" s="17">
        <v>216163.98387096773</v>
      </c>
      <c r="J396" s="17">
        <f t="shared" si="1"/>
        <v>5</v>
      </c>
    </row>
    <row r="397">
      <c r="A397" s="16">
        <v>43973.0</v>
      </c>
      <c r="B397" s="17" t="s">
        <v>11</v>
      </c>
      <c r="C397" s="17">
        <v>97963.5</v>
      </c>
      <c r="D397" s="17">
        <v>7728465.0</v>
      </c>
      <c r="E397" s="17">
        <v>31.0</v>
      </c>
      <c r="F397" s="17">
        <v>5965.0</v>
      </c>
      <c r="G397" s="17">
        <v>5533.0</v>
      </c>
      <c r="H397" s="17">
        <v>21.0</v>
      </c>
      <c r="I397" s="17">
        <v>249305.32258064515</v>
      </c>
      <c r="J397" s="17">
        <f t="shared" si="1"/>
        <v>5</v>
      </c>
    </row>
    <row r="398">
      <c r="A398" s="16">
        <v>43983.0</v>
      </c>
      <c r="B398" s="17" t="s">
        <v>11</v>
      </c>
      <c r="C398" s="17">
        <v>77269.5</v>
      </c>
      <c r="D398" s="17">
        <v>6829921.5</v>
      </c>
      <c r="E398" s="17">
        <v>31.0</v>
      </c>
      <c r="F398" s="17">
        <v>5468.0</v>
      </c>
      <c r="G398" s="17">
        <v>5081.0</v>
      </c>
      <c r="H398" s="17">
        <v>23.0</v>
      </c>
      <c r="I398" s="17">
        <v>220320.0483870968</v>
      </c>
      <c r="J398" s="17">
        <f t="shared" si="1"/>
        <v>5</v>
      </c>
    </row>
    <row r="399">
      <c r="A399" s="16">
        <v>43982.0</v>
      </c>
      <c r="B399" s="17" t="s">
        <v>23</v>
      </c>
      <c r="C399" s="17">
        <v>16143.0</v>
      </c>
      <c r="D399" s="17">
        <v>1423410.0</v>
      </c>
      <c r="E399" s="17">
        <v>18.0</v>
      </c>
      <c r="F399" s="17">
        <v>1029.0</v>
      </c>
      <c r="G399" s="17">
        <v>925.0</v>
      </c>
      <c r="H399" s="17">
        <v>22.0</v>
      </c>
      <c r="I399" s="17">
        <v>79078.33333333333</v>
      </c>
      <c r="J399" s="17">
        <f t="shared" si="1"/>
        <v>12</v>
      </c>
    </row>
    <row r="400">
      <c r="A400" s="16">
        <v>43962.0</v>
      </c>
      <c r="B400" s="17" t="s">
        <v>11</v>
      </c>
      <c r="C400" s="17">
        <v>72220.5</v>
      </c>
      <c r="D400" s="17">
        <v>6398719.5</v>
      </c>
      <c r="E400" s="17">
        <v>31.0</v>
      </c>
      <c r="F400" s="17">
        <v>4826.0</v>
      </c>
      <c r="G400" s="17">
        <v>4483.0</v>
      </c>
      <c r="H400" s="17">
        <v>20.0</v>
      </c>
      <c r="I400" s="17">
        <v>206410.3064516129</v>
      </c>
      <c r="J400" s="17">
        <f t="shared" si="1"/>
        <v>5</v>
      </c>
    </row>
    <row r="401">
      <c r="A401" s="16">
        <v>43969.0</v>
      </c>
      <c r="B401" s="17" t="s">
        <v>11</v>
      </c>
      <c r="C401" s="17">
        <v>78058.5</v>
      </c>
      <c r="D401" s="17">
        <v>6609714.0</v>
      </c>
      <c r="E401" s="17">
        <v>31.0</v>
      </c>
      <c r="F401" s="17">
        <v>5165.0</v>
      </c>
      <c r="G401" s="17">
        <v>4813.0</v>
      </c>
      <c r="H401" s="17">
        <v>21.0</v>
      </c>
      <c r="I401" s="17">
        <v>213216.5806451613</v>
      </c>
      <c r="J401" s="17">
        <f t="shared" si="1"/>
        <v>5</v>
      </c>
    </row>
    <row r="402">
      <c r="A402" s="16">
        <v>43965.0</v>
      </c>
      <c r="B402" s="17" t="s">
        <v>11</v>
      </c>
      <c r="C402" s="17">
        <v>70498.5</v>
      </c>
      <c r="D402" s="17">
        <v>6053649.0</v>
      </c>
      <c r="E402" s="17">
        <v>31.0</v>
      </c>
      <c r="F402" s="17">
        <v>4695.0</v>
      </c>
      <c r="G402" s="17">
        <v>4372.0</v>
      </c>
      <c r="H402" s="17">
        <v>20.0</v>
      </c>
      <c r="I402" s="17">
        <v>195279.0</v>
      </c>
      <c r="J402" s="17">
        <f t="shared" si="1"/>
        <v>5</v>
      </c>
    </row>
    <row r="403">
      <c r="A403" s="16">
        <v>43966.0</v>
      </c>
      <c r="B403" s="17" t="s">
        <v>11</v>
      </c>
      <c r="C403" s="17">
        <v>78961.5</v>
      </c>
      <c r="D403" s="17">
        <v>6876454.5</v>
      </c>
      <c r="E403" s="17">
        <v>31.0</v>
      </c>
      <c r="F403" s="17">
        <v>5184.0</v>
      </c>
      <c r="G403" s="17">
        <v>4778.0</v>
      </c>
      <c r="H403" s="17">
        <v>20.0</v>
      </c>
      <c r="I403" s="17">
        <v>221821.11290322582</v>
      </c>
      <c r="J403" s="17">
        <f t="shared" si="1"/>
        <v>5</v>
      </c>
    </row>
    <row r="404">
      <c r="A404" s="16">
        <v>43978.0</v>
      </c>
      <c r="B404" s="17" t="s">
        <v>12</v>
      </c>
      <c r="C404" s="17">
        <v>12490.5</v>
      </c>
      <c r="D404" s="17">
        <v>1054798.5</v>
      </c>
      <c r="E404" s="17">
        <v>10.0</v>
      </c>
      <c r="F404" s="17">
        <v>757.0</v>
      </c>
      <c r="G404" s="17">
        <v>660.0</v>
      </c>
      <c r="H404" s="17">
        <v>22.0</v>
      </c>
      <c r="I404" s="17">
        <v>105479.85</v>
      </c>
      <c r="J404" s="17">
        <f t="shared" si="1"/>
        <v>14</v>
      </c>
    </row>
    <row r="405">
      <c r="A405" s="16">
        <v>43973.0</v>
      </c>
      <c r="B405" s="17" t="s">
        <v>12</v>
      </c>
      <c r="C405" s="17">
        <v>18036.0</v>
      </c>
      <c r="D405" s="17">
        <v>1455049.5</v>
      </c>
      <c r="E405" s="17">
        <v>10.0</v>
      </c>
      <c r="F405" s="17">
        <v>965.0</v>
      </c>
      <c r="G405" s="17">
        <v>861.0</v>
      </c>
      <c r="H405" s="17">
        <v>21.0</v>
      </c>
      <c r="I405" s="17">
        <v>145504.95</v>
      </c>
      <c r="J405" s="17">
        <f t="shared" si="1"/>
        <v>12</v>
      </c>
    </row>
    <row r="406">
      <c r="A406" s="16">
        <v>43983.0</v>
      </c>
      <c r="B406" s="17" t="s">
        <v>12</v>
      </c>
      <c r="C406" s="17">
        <v>11416.5</v>
      </c>
      <c r="D406" s="17">
        <v>1007742.0</v>
      </c>
      <c r="E406" s="17">
        <v>10.0</v>
      </c>
      <c r="F406" s="17">
        <v>719.0</v>
      </c>
      <c r="G406" s="17">
        <v>627.0</v>
      </c>
      <c r="H406" s="17">
        <v>23.0</v>
      </c>
      <c r="I406" s="17">
        <v>100774.2</v>
      </c>
      <c r="J406" s="17">
        <f t="shared" si="1"/>
        <v>14</v>
      </c>
    </row>
    <row r="407">
      <c r="A407" s="16">
        <v>43962.0</v>
      </c>
      <c r="B407" s="17" t="s">
        <v>12</v>
      </c>
      <c r="C407" s="17">
        <v>9007.5</v>
      </c>
      <c r="D407" s="17">
        <v>734335.5</v>
      </c>
      <c r="E407" s="17">
        <v>10.0</v>
      </c>
      <c r="F407" s="17">
        <v>494.0</v>
      </c>
      <c r="G407" s="17">
        <v>421.0</v>
      </c>
      <c r="H407" s="17">
        <v>20.0</v>
      </c>
      <c r="I407" s="17">
        <v>73433.55</v>
      </c>
      <c r="J407" s="17">
        <f t="shared" si="1"/>
        <v>14</v>
      </c>
    </row>
    <row r="408">
      <c r="A408" s="16">
        <v>43980.0</v>
      </c>
      <c r="B408" s="17" t="s">
        <v>11</v>
      </c>
      <c r="C408" s="17">
        <v>87552.0</v>
      </c>
      <c r="D408" s="17">
        <v>7387116.0</v>
      </c>
      <c r="E408" s="17">
        <v>31.0</v>
      </c>
      <c r="F408" s="17">
        <v>5751.0</v>
      </c>
      <c r="G408" s="17">
        <v>5319.0</v>
      </c>
      <c r="H408" s="17">
        <v>22.0</v>
      </c>
      <c r="I408" s="17">
        <v>238294.06451612903</v>
      </c>
      <c r="J408" s="17">
        <f t="shared" si="1"/>
        <v>5</v>
      </c>
    </row>
    <row r="409">
      <c r="A409" s="16">
        <v>43969.0</v>
      </c>
      <c r="B409" s="17" t="s">
        <v>12</v>
      </c>
      <c r="C409" s="17">
        <v>11680.5</v>
      </c>
      <c r="D409" s="17">
        <v>936427.5</v>
      </c>
      <c r="E409" s="17">
        <v>10.0</v>
      </c>
      <c r="F409" s="17">
        <v>645.0</v>
      </c>
      <c r="G409" s="17">
        <v>565.0</v>
      </c>
      <c r="H409" s="17">
        <v>21.0</v>
      </c>
      <c r="I409" s="17">
        <v>93642.75</v>
      </c>
      <c r="J409" s="17">
        <f t="shared" si="1"/>
        <v>14</v>
      </c>
    </row>
    <row r="410">
      <c r="A410" s="16">
        <v>43965.0</v>
      </c>
      <c r="B410" s="17" t="s">
        <v>12</v>
      </c>
      <c r="C410" s="17">
        <v>12037.5</v>
      </c>
      <c r="D410" s="17">
        <v>981564.0</v>
      </c>
      <c r="E410" s="17">
        <v>10.0</v>
      </c>
      <c r="F410" s="17">
        <v>627.0</v>
      </c>
      <c r="G410" s="17">
        <v>545.0</v>
      </c>
      <c r="H410" s="17">
        <v>20.0</v>
      </c>
      <c r="I410" s="17">
        <v>98156.4</v>
      </c>
      <c r="J410" s="17">
        <f t="shared" si="1"/>
        <v>13</v>
      </c>
    </row>
    <row r="411">
      <c r="A411" s="16">
        <v>43966.0</v>
      </c>
      <c r="B411" s="17" t="s">
        <v>12</v>
      </c>
      <c r="C411" s="17">
        <v>14421.0</v>
      </c>
      <c r="D411" s="17">
        <v>1150579.5</v>
      </c>
      <c r="E411" s="17">
        <v>10.0</v>
      </c>
      <c r="F411" s="17">
        <v>743.0</v>
      </c>
      <c r="G411" s="17">
        <v>652.0</v>
      </c>
      <c r="H411" s="17">
        <v>20.0</v>
      </c>
      <c r="I411" s="17">
        <v>115057.95</v>
      </c>
      <c r="J411" s="17">
        <f t="shared" si="1"/>
        <v>12</v>
      </c>
    </row>
    <row r="412">
      <c r="A412" s="16">
        <v>43980.0</v>
      </c>
      <c r="B412" s="17" t="s">
        <v>12</v>
      </c>
      <c r="C412" s="17">
        <v>14823.0</v>
      </c>
      <c r="D412" s="17">
        <v>1273464.0</v>
      </c>
      <c r="E412" s="17">
        <v>10.0</v>
      </c>
      <c r="F412" s="17">
        <v>873.0</v>
      </c>
      <c r="G412" s="17">
        <v>770.0</v>
      </c>
      <c r="H412" s="17">
        <v>22.0</v>
      </c>
      <c r="I412" s="17">
        <v>127346.4</v>
      </c>
      <c r="J412" s="17">
        <f t="shared" si="1"/>
        <v>14</v>
      </c>
    </row>
    <row r="413">
      <c r="A413" s="16">
        <v>43978.0</v>
      </c>
      <c r="B413" s="17" t="s">
        <v>13</v>
      </c>
      <c r="C413" s="17">
        <v>31257.0</v>
      </c>
      <c r="D413" s="17">
        <v>2924133.0</v>
      </c>
      <c r="E413" s="17">
        <v>20.0</v>
      </c>
      <c r="F413" s="17">
        <v>2079.0</v>
      </c>
      <c r="G413" s="17">
        <v>1856.0</v>
      </c>
      <c r="H413" s="17">
        <v>22.0</v>
      </c>
      <c r="I413" s="17">
        <v>146206.65</v>
      </c>
      <c r="J413" s="17">
        <f t="shared" si="1"/>
        <v>9</v>
      </c>
    </row>
    <row r="414">
      <c r="A414" s="16">
        <v>43973.0</v>
      </c>
      <c r="B414" s="17" t="s">
        <v>13</v>
      </c>
      <c r="C414" s="17">
        <v>38074.5</v>
      </c>
      <c r="D414" s="17">
        <v>3414180.0</v>
      </c>
      <c r="E414" s="17">
        <v>20.0</v>
      </c>
      <c r="F414" s="17">
        <v>2306.0</v>
      </c>
      <c r="G414" s="17">
        <v>2054.0</v>
      </c>
      <c r="H414" s="17">
        <v>21.0</v>
      </c>
      <c r="I414" s="17">
        <v>170709.0</v>
      </c>
      <c r="J414" s="17">
        <f t="shared" si="1"/>
        <v>8</v>
      </c>
    </row>
    <row r="415">
      <c r="A415" s="16">
        <v>43983.0</v>
      </c>
      <c r="B415" s="17" t="s">
        <v>13</v>
      </c>
      <c r="C415" s="17">
        <v>32170.5</v>
      </c>
      <c r="D415" s="17">
        <v>3013512.0</v>
      </c>
      <c r="E415" s="17">
        <v>20.0</v>
      </c>
      <c r="F415" s="17">
        <v>2136.0</v>
      </c>
      <c r="G415" s="17">
        <v>1899.0</v>
      </c>
      <c r="H415" s="17">
        <v>23.0</v>
      </c>
      <c r="I415" s="17">
        <v>150675.6</v>
      </c>
      <c r="J415" s="17">
        <f t="shared" si="1"/>
        <v>8</v>
      </c>
    </row>
    <row r="416">
      <c r="A416" s="16">
        <v>43962.0</v>
      </c>
      <c r="B416" s="17" t="s">
        <v>13</v>
      </c>
      <c r="C416" s="17">
        <v>42397.5</v>
      </c>
      <c r="D416" s="17">
        <v>3911979.0</v>
      </c>
      <c r="E416" s="17">
        <v>19.0</v>
      </c>
      <c r="F416" s="17">
        <v>2530.0</v>
      </c>
      <c r="G416" s="17">
        <v>2270.0</v>
      </c>
      <c r="H416" s="17">
        <v>20.0</v>
      </c>
      <c r="I416" s="17">
        <v>205893.63157894736</v>
      </c>
      <c r="J416" s="17">
        <f t="shared" si="1"/>
        <v>7</v>
      </c>
    </row>
    <row r="417">
      <c r="A417" s="16">
        <v>43969.0</v>
      </c>
      <c r="B417" s="17" t="s">
        <v>13</v>
      </c>
      <c r="C417" s="17">
        <v>28668.0</v>
      </c>
      <c r="D417" s="17">
        <v>2588148.0</v>
      </c>
      <c r="E417" s="17">
        <v>19.0</v>
      </c>
      <c r="F417" s="17">
        <v>1858.0</v>
      </c>
      <c r="G417" s="17">
        <v>1648.0</v>
      </c>
      <c r="H417" s="17">
        <v>21.0</v>
      </c>
      <c r="I417" s="17">
        <v>136218.31578947368</v>
      </c>
      <c r="J417" s="17">
        <f t="shared" si="1"/>
        <v>9</v>
      </c>
    </row>
    <row r="418">
      <c r="A418" s="16">
        <v>43965.0</v>
      </c>
      <c r="B418" s="17" t="s">
        <v>13</v>
      </c>
      <c r="C418" s="17">
        <v>27411.0</v>
      </c>
      <c r="D418" s="17">
        <v>2441520.0</v>
      </c>
      <c r="E418" s="17">
        <v>19.0</v>
      </c>
      <c r="F418" s="17">
        <v>1675.0</v>
      </c>
      <c r="G418" s="17">
        <v>1475.0</v>
      </c>
      <c r="H418" s="17">
        <v>20.0</v>
      </c>
      <c r="I418" s="17">
        <v>128501.05263157895</v>
      </c>
      <c r="J418" s="17">
        <f t="shared" si="1"/>
        <v>9</v>
      </c>
    </row>
    <row r="419">
      <c r="A419" s="16">
        <v>43966.0</v>
      </c>
      <c r="B419" s="17" t="s">
        <v>13</v>
      </c>
      <c r="C419" s="17">
        <v>32854.5</v>
      </c>
      <c r="D419" s="17">
        <v>2949078.0</v>
      </c>
      <c r="E419" s="17">
        <v>19.0</v>
      </c>
      <c r="F419" s="17">
        <v>1940.0</v>
      </c>
      <c r="G419" s="17">
        <v>1715.0</v>
      </c>
      <c r="H419" s="17">
        <v>20.0</v>
      </c>
      <c r="I419" s="17">
        <v>155214.63157894736</v>
      </c>
      <c r="J419" s="17">
        <f t="shared" si="1"/>
        <v>9</v>
      </c>
    </row>
    <row r="420">
      <c r="A420" s="16">
        <v>43980.0</v>
      </c>
      <c r="B420" s="17" t="s">
        <v>13</v>
      </c>
      <c r="C420" s="17">
        <v>35346.0</v>
      </c>
      <c r="D420" s="17">
        <v>3258054.0</v>
      </c>
      <c r="E420" s="17">
        <v>20.0</v>
      </c>
      <c r="F420" s="17">
        <v>2249.0</v>
      </c>
      <c r="G420" s="17">
        <v>2000.0</v>
      </c>
      <c r="H420" s="17">
        <v>22.0</v>
      </c>
      <c r="I420" s="17">
        <v>162902.7</v>
      </c>
      <c r="J420" s="17">
        <f t="shared" si="1"/>
        <v>8</v>
      </c>
    </row>
    <row r="421">
      <c r="A421" s="16">
        <v>43978.0</v>
      </c>
      <c r="B421" s="17" t="s">
        <v>14</v>
      </c>
      <c r="C421" s="17">
        <v>286558.5</v>
      </c>
      <c r="D421" s="17">
        <v>2.9256993E7</v>
      </c>
      <c r="E421" s="17">
        <v>129.0</v>
      </c>
      <c r="F421" s="17">
        <v>17115.0</v>
      </c>
      <c r="G421" s="17">
        <v>15962.0</v>
      </c>
      <c r="H421" s="17">
        <v>22.0</v>
      </c>
      <c r="I421" s="17">
        <v>226798.39534883722</v>
      </c>
      <c r="J421" s="17">
        <f t="shared" si="1"/>
        <v>2</v>
      </c>
    </row>
    <row r="422">
      <c r="A422" s="16">
        <v>43973.0</v>
      </c>
      <c r="B422" s="17" t="s">
        <v>14</v>
      </c>
      <c r="C422" s="17">
        <v>304092.0</v>
      </c>
      <c r="D422" s="17">
        <v>2.9465769E7</v>
      </c>
      <c r="E422" s="17">
        <v>129.0</v>
      </c>
      <c r="F422" s="17">
        <v>17088.0</v>
      </c>
      <c r="G422" s="17">
        <v>15804.0</v>
      </c>
      <c r="H422" s="17">
        <v>21.0</v>
      </c>
      <c r="I422" s="17">
        <v>228416.81395348837</v>
      </c>
      <c r="J422" s="17">
        <f t="shared" si="1"/>
        <v>2</v>
      </c>
    </row>
    <row r="423">
      <c r="A423" s="16">
        <v>43983.0</v>
      </c>
      <c r="B423" s="17" t="s">
        <v>14</v>
      </c>
      <c r="C423" s="17">
        <v>272926.5</v>
      </c>
      <c r="D423" s="17">
        <v>2.77700925E7</v>
      </c>
      <c r="E423" s="17">
        <v>128.0</v>
      </c>
      <c r="F423" s="17">
        <v>16285.0</v>
      </c>
      <c r="G423" s="17">
        <v>15130.0</v>
      </c>
      <c r="H423" s="17">
        <v>23.0</v>
      </c>
      <c r="I423" s="17">
        <v>216953.84765625</v>
      </c>
      <c r="J423" s="17">
        <f t="shared" si="1"/>
        <v>2</v>
      </c>
    </row>
    <row r="424">
      <c r="A424" s="16">
        <v>43962.0</v>
      </c>
      <c r="B424" s="17" t="s">
        <v>14</v>
      </c>
      <c r="C424" s="17">
        <v>237099.0</v>
      </c>
      <c r="D424" s="17">
        <v>2.462823322395E7</v>
      </c>
      <c r="E424" s="17">
        <v>129.0</v>
      </c>
      <c r="F424" s="17">
        <v>14043.0</v>
      </c>
      <c r="G424" s="17">
        <v>13167.0</v>
      </c>
      <c r="H424" s="17">
        <v>20.0</v>
      </c>
      <c r="I424" s="17">
        <v>190916.53661976743</v>
      </c>
      <c r="J424" s="17">
        <f t="shared" si="1"/>
        <v>2</v>
      </c>
    </row>
    <row r="425">
      <c r="A425" s="16">
        <v>43969.0</v>
      </c>
      <c r="B425" s="17" t="s">
        <v>14</v>
      </c>
      <c r="C425" s="17">
        <v>273900.0</v>
      </c>
      <c r="D425" s="17">
        <v>2.7535284147600003E7</v>
      </c>
      <c r="E425" s="17">
        <v>129.0</v>
      </c>
      <c r="F425" s="17">
        <v>16110.0</v>
      </c>
      <c r="G425" s="17">
        <v>14992.0</v>
      </c>
      <c r="H425" s="17">
        <v>21.0</v>
      </c>
      <c r="I425" s="17">
        <v>213451.81509767444</v>
      </c>
      <c r="J425" s="17">
        <f t="shared" si="1"/>
        <v>2</v>
      </c>
    </row>
    <row r="426">
      <c r="A426" s="16">
        <v>43965.0</v>
      </c>
      <c r="B426" s="17" t="s">
        <v>14</v>
      </c>
      <c r="C426" s="17">
        <v>274059.0</v>
      </c>
      <c r="D426" s="17">
        <v>2.8181292E7</v>
      </c>
      <c r="E426" s="17">
        <v>129.0</v>
      </c>
      <c r="F426" s="17">
        <v>15804.0</v>
      </c>
      <c r="G426" s="17">
        <v>14738.0</v>
      </c>
      <c r="H426" s="17">
        <v>20.0</v>
      </c>
      <c r="I426" s="17">
        <v>218459.62790697673</v>
      </c>
      <c r="J426" s="17">
        <f t="shared" si="1"/>
        <v>2</v>
      </c>
    </row>
    <row r="427">
      <c r="A427" s="16">
        <v>43966.0</v>
      </c>
      <c r="B427" s="17" t="s">
        <v>14</v>
      </c>
      <c r="C427" s="17">
        <v>318816.0</v>
      </c>
      <c r="D427" s="17">
        <v>3.2354331E7</v>
      </c>
      <c r="E427" s="17">
        <v>129.0</v>
      </c>
      <c r="F427" s="17">
        <v>17808.0</v>
      </c>
      <c r="G427" s="17">
        <v>16486.0</v>
      </c>
      <c r="H427" s="17">
        <v>20.0</v>
      </c>
      <c r="I427" s="17">
        <v>250808.76744186046</v>
      </c>
      <c r="J427" s="17">
        <f t="shared" si="1"/>
        <v>2</v>
      </c>
    </row>
    <row r="428">
      <c r="A428" s="16">
        <v>43978.0</v>
      </c>
      <c r="B428" s="17" t="s">
        <v>15</v>
      </c>
      <c r="C428" s="17">
        <v>370012.5</v>
      </c>
      <c r="D428" s="17">
        <v>3.90348615E7</v>
      </c>
      <c r="E428" s="17">
        <v>124.0</v>
      </c>
      <c r="F428" s="17">
        <v>21384.0</v>
      </c>
      <c r="G428" s="17">
        <v>19897.0</v>
      </c>
      <c r="H428" s="17">
        <v>22.0</v>
      </c>
      <c r="I428" s="17">
        <v>314797.2701612903</v>
      </c>
      <c r="J428" s="17">
        <f t="shared" si="1"/>
        <v>1</v>
      </c>
    </row>
    <row r="429">
      <c r="A429" s="16">
        <v>43973.0</v>
      </c>
      <c r="B429" s="17" t="s">
        <v>15</v>
      </c>
      <c r="C429" s="17">
        <v>393018.0</v>
      </c>
      <c r="D429" s="17">
        <v>3.94983735E7</v>
      </c>
      <c r="E429" s="17">
        <v>125.0</v>
      </c>
      <c r="F429" s="17">
        <v>21427.0</v>
      </c>
      <c r="G429" s="17">
        <v>19799.0</v>
      </c>
      <c r="H429" s="17">
        <v>21.0</v>
      </c>
      <c r="I429" s="17">
        <v>315986.988</v>
      </c>
      <c r="J429" s="17">
        <f t="shared" si="1"/>
        <v>1</v>
      </c>
    </row>
    <row r="430">
      <c r="A430" s="16">
        <v>43983.0</v>
      </c>
      <c r="B430" s="17" t="s">
        <v>15</v>
      </c>
      <c r="C430" s="17">
        <v>349699.5</v>
      </c>
      <c r="D430" s="17">
        <v>3.725784018135E7</v>
      </c>
      <c r="E430" s="17">
        <v>123.0</v>
      </c>
      <c r="F430" s="17">
        <v>20325.0</v>
      </c>
      <c r="G430" s="17">
        <v>18935.0</v>
      </c>
      <c r="H430" s="17">
        <v>23.0</v>
      </c>
      <c r="I430" s="17">
        <v>302909.26976707316</v>
      </c>
      <c r="J430" s="17">
        <f t="shared" si="1"/>
        <v>1</v>
      </c>
    </row>
    <row r="431">
      <c r="A431" s="16">
        <v>43962.0</v>
      </c>
      <c r="B431" s="17" t="s">
        <v>15</v>
      </c>
      <c r="C431" s="17">
        <v>318565.5</v>
      </c>
      <c r="D431" s="17">
        <v>3.3781581E7</v>
      </c>
      <c r="E431" s="17">
        <v>125.0</v>
      </c>
      <c r="F431" s="17">
        <v>18066.0</v>
      </c>
      <c r="G431" s="17">
        <v>16883.0</v>
      </c>
      <c r="H431" s="17">
        <v>20.0</v>
      </c>
      <c r="I431" s="17">
        <v>270252.648</v>
      </c>
      <c r="J431" s="17">
        <f t="shared" si="1"/>
        <v>1</v>
      </c>
    </row>
    <row r="432">
      <c r="A432" s="16">
        <v>43980.0</v>
      </c>
      <c r="B432" s="17" t="s">
        <v>14</v>
      </c>
      <c r="C432" s="17">
        <v>422965.5</v>
      </c>
      <c r="D432" s="17">
        <v>4.1767140105000004E7</v>
      </c>
      <c r="E432" s="17">
        <v>129.0</v>
      </c>
      <c r="F432" s="17">
        <v>22403.0</v>
      </c>
      <c r="G432" s="17">
        <v>20676.0</v>
      </c>
      <c r="H432" s="17">
        <v>22.0</v>
      </c>
      <c r="I432" s="17">
        <v>323776.27988372097</v>
      </c>
      <c r="J432" s="17">
        <f t="shared" si="1"/>
        <v>2</v>
      </c>
    </row>
    <row r="433">
      <c r="A433" s="16">
        <v>43969.0</v>
      </c>
      <c r="B433" s="17" t="s">
        <v>15</v>
      </c>
      <c r="C433" s="17">
        <v>355081.5</v>
      </c>
      <c r="D433" s="17">
        <v>3.6876888E7</v>
      </c>
      <c r="E433" s="17">
        <v>125.0</v>
      </c>
      <c r="F433" s="17">
        <v>20449.0</v>
      </c>
      <c r="G433" s="17">
        <v>19060.0</v>
      </c>
      <c r="H433" s="17">
        <v>21.0</v>
      </c>
      <c r="I433" s="17">
        <v>295015.104</v>
      </c>
      <c r="J433" s="17">
        <f t="shared" si="1"/>
        <v>1</v>
      </c>
    </row>
    <row r="434">
      <c r="A434" s="16">
        <v>43965.0</v>
      </c>
      <c r="B434" s="17" t="s">
        <v>15</v>
      </c>
      <c r="C434" s="17">
        <v>358387.5</v>
      </c>
      <c r="D434" s="17">
        <v>3.79631505E7</v>
      </c>
      <c r="E434" s="17">
        <v>125.0</v>
      </c>
      <c r="F434" s="17">
        <v>20247.0</v>
      </c>
      <c r="G434" s="17">
        <v>18812.0</v>
      </c>
      <c r="H434" s="17">
        <v>20.0</v>
      </c>
      <c r="I434" s="17">
        <v>303705.204</v>
      </c>
      <c r="J434" s="17">
        <f t="shared" si="1"/>
        <v>1</v>
      </c>
    </row>
    <row r="435">
      <c r="A435" s="16">
        <v>43966.0</v>
      </c>
      <c r="B435" s="17" t="s">
        <v>15</v>
      </c>
      <c r="C435" s="17">
        <v>403261.5</v>
      </c>
      <c r="D435" s="17">
        <v>4.2271377E7</v>
      </c>
      <c r="E435" s="17">
        <v>125.0</v>
      </c>
      <c r="F435" s="17">
        <v>21862.0</v>
      </c>
      <c r="G435" s="17">
        <v>20235.0</v>
      </c>
      <c r="H435" s="17">
        <v>20.0</v>
      </c>
      <c r="I435" s="17">
        <v>338171.016</v>
      </c>
      <c r="J435" s="17">
        <f t="shared" si="1"/>
        <v>1</v>
      </c>
    </row>
    <row r="436">
      <c r="A436" s="16">
        <v>43978.0</v>
      </c>
      <c r="B436" s="17" t="s">
        <v>16</v>
      </c>
      <c r="C436" s="17">
        <v>69010.5</v>
      </c>
      <c r="D436" s="17">
        <v>5985894.0</v>
      </c>
      <c r="E436" s="17">
        <v>36.0</v>
      </c>
      <c r="F436" s="17">
        <v>4951.0</v>
      </c>
      <c r="G436" s="17">
        <v>4584.0</v>
      </c>
      <c r="H436" s="17">
        <v>22.0</v>
      </c>
      <c r="I436" s="17">
        <v>166274.83333333334</v>
      </c>
      <c r="J436" s="17">
        <f t="shared" si="1"/>
        <v>6</v>
      </c>
    </row>
    <row r="437">
      <c r="A437" s="16">
        <v>43973.0</v>
      </c>
      <c r="B437" s="17" t="s">
        <v>16</v>
      </c>
      <c r="C437" s="17">
        <v>75820.5</v>
      </c>
      <c r="D437" s="17">
        <v>5943489.0</v>
      </c>
      <c r="E437" s="17">
        <v>36.0</v>
      </c>
      <c r="F437" s="17">
        <v>4857.0</v>
      </c>
      <c r="G437" s="17">
        <v>4456.0</v>
      </c>
      <c r="H437" s="17">
        <v>21.0</v>
      </c>
      <c r="I437" s="17">
        <v>165096.91666666666</v>
      </c>
      <c r="J437" s="17">
        <f t="shared" si="1"/>
        <v>6</v>
      </c>
    </row>
    <row r="438">
      <c r="A438" s="16">
        <v>43983.0</v>
      </c>
      <c r="B438" s="17" t="s">
        <v>16</v>
      </c>
      <c r="C438" s="17">
        <v>64740.0</v>
      </c>
      <c r="D438" s="17">
        <v>5800290.0</v>
      </c>
      <c r="E438" s="17">
        <v>37.0</v>
      </c>
      <c r="F438" s="17">
        <v>4722.0</v>
      </c>
      <c r="G438" s="17">
        <v>4352.0</v>
      </c>
      <c r="H438" s="17">
        <v>23.0</v>
      </c>
      <c r="I438" s="17">
        <v>156764.5945945946</v>
      </c>
      <c r="J438" s="17">
        <f t="shared" si="1"/>
        <v>6</v>
      </c>
    </row>
    <row r="439">
      <c r="A439" s="16">
        <v>43962.0</v>
      </c>
      <c r="B439" s="17" t="s">
        <v>16</v>
      </c>
      <c r="C439" s="17">
        <v>59574.0</v>
      </c>
      <c r="D439" s="17">
        <v>5178169.5</v>
      </c>
      <c r="E439" s="17">
        <v>36.0</v>
      </c>
      <c r="F439" s="17">
        <v>4150.0</v>
      </c>
      <c r="G439" s="17">
        <v>3838.0</v>
      </c>
      <c r="H439" s="17">
        <v>20.0</v>
      </c>
      <c r="I439" s="17">
        <v>143838.04166666666</v>
      </c>
      <c r="J439" s="17">
        <f t="shared" si="1"/>
        <v>6</v>
      </c>
    </row>
    <row r="440">
      <c r="A440" s="16">
        <v>43980.0</v>
      </c>
      <c r="B440" s="17" t="s">
        <v>15</v>
      </c>
      <c r="C440" s="17">
        <v>524481.0</v>
      </c>
      <c r="D440" s="17">
        <v>5.4172029E7</v>
      </c>
      <c r="E440" s="17">
        <v>124.0</v>
      </c>
      <c r="F440" s="17">
        <v>25828.0</v>
      </c>
      <c r="G440" s="17">
        <v>23974.0</v>
      </c>
      <c r="H440" s="17">
        <v>22.0</v>
      </c>
      <c r="I440" s="17">
        <v>436871.2016129032</v>
      </c>
      <c r="J440" s="17">
        <f t="shared" si="1"/>
        <v>1</v>
      </c>
    </row>
    <row r="441">
      <c r="A441" s="16">
        <v>43969.0</v>
      </c>
      <c r="B441" s="17" t="s">
        <v>16</v>
      </c>
      <c r="C441" s="17">
        <v>70278.0</v>
      </c>
      <c r="D441" s="17">
        <v>5798476.5</v>
      </c>
      <c r="E441" s="17">
        <v>36.0</v>
      </c>
      <c r="F441" s="17">
        <v>4885.0</v>
      </c>
      <c r="G441" s="17">
        <v>4502.0</v>
      </c>
      <c r="H441" s="17">
        <v>21.0</v>
      </c>
      <c r="I441" s="17">
        <v>161068.79166666666</v>
      </c>
      <c r="J441" s="17">
        <f t="shared" si="1"/>
        <v>6</v>
      </c>
    </row>
    <row r="442">
      <c r="A442" s="16">
        <v>43965.0</v>
      </c>
      <c r="B442" s="17" t="s">
        <v>16</v>
      </c>
      <c r="C442" s="17">
        <v>63645.0</v>
      </c>
      <c r="D442" s="17">
        <v>5366602.5</v>
      </c>
      <c r="E442" s="17">
        <v>36.0</v>
      </c>
      <c r="F442" s="17">
        <v>4285.0</v>
      </c>
      <c r="G442" s="17">
        <v>3950.0</v>
      </c>
      <c r="H442" s="17">
        <v>20.0</v>
      </c>
      <c r="I442" s="17">
        <v>149072.29166666666</v>
      </c>
      <c r="J442" s="17">
        <f t="shared" si="1"/>
        <v>6</v>
      </c>
    </row>
    <row r="443">
      <c r="A443" s="16">
        <v>43966.0</v>
      </c>
      <c r="B443" s="17" t="s">
        <v>16</v>
      </c>
      <c r="C443" s="17">
        <v>75642.0</v>
      </c>
      <c r="D443" s="17">
        <v>6293952.0</v>
      </c>
      <c r="E443" s="17">
        <v>36.0</v>
      </c>
      <c r="F443" s="17">
        <v>4862.0</v>
      </c>
      <c r="G443" s="17">
        <v>4476.0</v>
      </c>
      <c r="H443" s="17">
        <v>20.0</v>
      </c>
      <c r="I443" s="17">
        <v>174832.0</v>
      </c>
      <c r="J443" s="17">
        <f t="shared" si="1"/>
        <v>6</v>
      </c>
    </row>
    <row r="444">
      <c r="A444" s="16">
        <v>43978.0</v>
      </c>
      <c r="B444" s="17" t="s">
        <v>17</v>
      </c>
      <c r="C444" s="17">
        <v>40420.5</v>
      </c>
      <c r="D444" s="17">
        <v>3780852.0</v>
      </c>
      <c r="E444" s="17">
        <v>21.0</v>
      </c>
      <c r="F444" s="17">
        <v>2430.0</v>
      </c>
      <c r="G444" s="17">
        <v>2216.0</v>
      </c>
      <c r="H444" s="17">
        <v>22.0</v>
      </c>
      <c r="I444" s="17">
        <v>180040.57142857142</v>
      </c>
      <c r="J444" s="17">
        <f t="shared" si="1"/>
        <v>7</v>
      </c>
    </row>
    <row r="445">
      <c r="A445" s="16">
        <v>43973.0</v>
      </c>
      <c r="B445" s="17" t="s">
        <v>17</v>
      </c>
      <c r="C445" s="17">
        <v>53838.0</v>
      </c>
      <c r="D445" s="17">
        <v>4840833.0</v>
      </c>
      <c r="E445" s="17">
        <v>21.0</v>
      </c>
      <c r="F445" s="17">
        <v>2861.0</v>
      </c>
      <c r="G445" s="17">
        <v>2612.0</v>
      </c>
      <c r="H445" s="17">
        <v>21.0</v>
      </c>
      <c r="I445" s="17">
        <v>230515.85714285713</v>
      </c>
      <c r="J445" s="17">
        <f t="shared" si="1"/>
        <v>7</v>
      </c>
    </row>
    <row r="446">
      <c r="A446" s="16">
        <v>43983.0</v>
      </c>
      <c r="B446" s="17" t="s">
        <v>17</v>
      </c>
      <c r="C446" s="17">
        <v>40528.5</v>
      </c>
      <c r="D446" s="17">
        <v>3865251.0</v>
      </c>
      <c r="E446" s="17">
        <v>23.0</v>
      </c>
      <c r="F446" s="17">
        <v>2531.0</v>
      </c>
      <c r="G446" s="17">
        <v>2296.0</v>
      </c>
      <c r="H446" s="17">
        <v>23.0</v>
      </c>
      <c r="I446" s="17">
        <v>168054.39130434784</v>
      </c>
      <c r="J446" s="17">
        <f t="shared" si="1"/>
        <v>7</v>
      </c>
    </row>
    <row r="447">
      <c r="A447" s="16">
        <v>43962.0</v>
      </c>
      <c r="B447" s="17" t="s">
        <v>17</v>
      </c>
      <c r="C447" s="17">
        <v>32733.0</v>
      </c>
      <c r="D447" s="17">
        <v>3079630.5</v>
      </c>
      <c r="E447" s="17">
        <v>21.0</v>
      </c>
      <c r="F447" s="17">
        <v>1916.0</v>
      </c>
      <c r="G447" s="17">
        <v>1733.0</v>
      </c>
      <c r="H447" s="17">
        <v>20.0</v>
      </c>
      <c r="I447" s="17">
        <v>146649.07142857142</v>
      </c>
      <c r="J447" s="17">
        <f t="shared" si="1"/>
        <v>8</v>
      </c>
    </row>
    <row r="448">
      <c r="A448" s="16">
        <v>43980.0</v>
      </c>
      <c r="B448" s="17" t="s">
        <v>16</v>
      </c>
      <c r="C448" s="17">
        <v>84433.5</v>
      </c>
      <c r="D448" s="17">
        <v>7228395.0</v>
      </c>
      <c r="E448" s="17">
        <v>37.0</v>
      </c>
      <c r="F448" s="17">
        <v>5672.0</v>
      </c>
      <c r="G448" s="17">
        <v>5198.0</v>
      </c>
      <c r="H448" s="17">
        <v>22.0</v>
      </c>
      <c r="I448" s="17">
        <v>195362.02702702704</v>
      </c>
      <c r="J448" s="17">
        <f t="shared" si="1"/>
        <v>6</v>
      </c>
    </row>
    <row r="449">
      <c r="A449" s="16">
        <v>43969.0</v>
      </c>
      <c r="B449" s="17" t="s">
        <v>17</v>
      </c>
      <c r="C449" s="17">
        <v>36655.5</v>
      </c>
      <c r="D449" s="17">
        <v>3360135.0</v>
      </c>
      <c r="E449" s="17">
        <v>21.0</v>
      </c>
      <c r="F449" s="17">
        <v>2136.0</v>
      </c>
      <c r="G449" s="17">
        <v>1947.0</v>
      </c>
      <c r="H449" s="17">
        <v>21.0</v>
      </c>
      <c r="I449" s="17">
        <v>160006.42857142858</v>
      </c>
      <c r="J449" s="17">
        <f t="shared" si="1"/>
        <v>7</v>
      </c>
    </row>
    <row r="450">
      <c r="A450" s="16">
        <v>43965.0</v>
      </c>
      <c r="B450" s="17" t="s">
        <v>17</v>
      </c>
      <c r="C450" s="17">
        <v>33886.5</v>
      </c>
      <c r="D450" s="17">
        <v>3166479.0</v>
      </c>
      <c r="E450" s="17">
        <v>21.0</v>
      </c>
      <c r="F450" s="17">
        <v>1993.0</v>
      </c>
      <c r="G450" s="17">
        <v>1796.0</v>
      </c>
      <c r="H450" s="17">
        <v>20.0</v>
      </c>
      <c r="I450" s="17">
        <v>150784.7142857143</v>
      </c>
      <c r="J450" s="17">
        <f t="shared" si="1"/>
        <v>7</v>
      </c>
    </row>
    <row r="451">
      <c r="A451" s="16">
        <v>43966.0</v>
      </c>
      <c r="B451" s="17" t="s">
        <v>17</v>
      </c>
      <c r="C451" s="17">
        <v>41697.0</v>
      </c>
      <c r="D451" s="17">
        <v>3772258.5</v>
      </c>
      <c r="E451" s="17">
        <v>21.0</v>
      </c>
      <c r="F451" s="17">
        <v>2255.0</v>
      </c>
      <c r="G451" s="17">
        <v>2045.0</v>
      </c>
      <c r="H451" s="17">
        <v>20.0</v>
      </c>
      <c r="I451" s="17">
        <v>179631.35714285713</v>
      </c>
      <c r="J451" s="17">
        <f t="shared" si="1"/>
        <v>7</v>
      </c>
    </row>
    <row r="452">
      <c r="A452" s="16">
        <v>43980.0</v>
      </c>
      <c r="B452" s="17" t="s">
        <v>17</v>
      </c>
      <c r="C452" s="17">
        <v>44569.5</v>
      </c>
      <c r="D452" s="17">
        <v>4108596.0</v>
      </c>
      <c r="E452" s="17">
        <v>22.0</v>
      </c>
      <c r="F452" s="17">
        <v>2597.0</v>
      </c>
      <c r="G452" s="17">
        <v>2379.0</v>
      </c>
      <c r="H452" s="17">
        <v>22.0</v>
      </c>
      <c r="I452" s="17">
        <v>186754.36363636365</v>
      </c>
      <c r="J452" s="17">
        <f t="shared" si="1"/>
        <v>7</v>
      </c>
    </row>
    <row r="453">
      <c r="A453" s="16">
        <v>43978.0</v>
      </c>
      <c r="B453" s="17" t="s">
        <v>18</v>
      </c>
      <c r="C453" s="17">
        <v>18069.0</v>
      </c>
      <c r="D453" s="17">
        <v>1603084.5</v>
      </c>
      <c r="E453" s="17">
        <v>17.0</v>
      </c>
      <c r="F453" s="17">
        <v>1203.0</v>
      </c>
      <c r="G453" s="17">
        <v>1077.0</v>
      </c>
      <c r="H453" s="17">
        <v>22.0</v>
      </c>
      <c r="I453" s="17">
        <v>94299.08823529411</v>
      </c>
      <c r="J453" s="17">
        <f t="shared" si="1"/>
        <v>11</v>
      </c>
    </row>
    <row r="454">
      <c r="A454" s="16">
        <v>43973.0</v>
      </c>
      <c r="B454" s="17" t="s">
        <v>18</v>
      </c>
      <c r="C454" s="17">
        <v>21483.0</v>
      </c>
      <c r="D454" s="17">
        <v>1774329.0</v>
      </c>
      <c r="E454" s="17">
        <v>17.0</v>
      </c>
      <c r="F454" s="17">
        <v>1268.0</v>
      </c>
      <c r="G454" s="17">
        <v>1129.0</v>
      </c>
      <c r="H454" s="17">
        <v>21.0</v>
      </c>
      <c r="I454" s="17">
        <v>104372.29411764706</v>
      </c>
      <c r="J454" s="17">
        <f t="shared" si="1"/>
        <v>11</v>
      </c>
    </row>
    <row r="455">
      <c r="A455" s="16">
        <v>43983.0</v>
      </c>
      <c r="B455" s="17" t="s">
        <v>18</v>
      </c>
      <c r="C455" s="17">
        <v>16687.5</v>
      </c>
      <c r="D455" s="17">
        <v>1526608.5</v>
      </c>
      <c r="E455" s="17">
        <v>17.0</v>
      </c>
      <c r="F455" s="17">
        <v>1185.0</v>
      </c>
      <c r="G455" s="17">
        <v>1042.0</v>
      </c>
      <c r="H455" s="17">
        <v>23.0</v>
      </c>
      <c r="I455" s="17">
        <v>89800.5</v>
      </c>
      <c r="J455" s="17">
        <f t="shared" si="1"/>
        <v>12</v>
      </c>
    </row>
    <row r="456">
      <c r="A456" s="16">
        <v>43962.0</v>
      </c>
      <c r="B456" s="17" t="s">
        <v>18</v>
      </c>
      <c r="C456" s="17">
        <v>12238.5</v>
      </c>
      <c r="D456" s="17">
        <v>1096002.0</v>
      </c>
      <c r="E456" s="17">
        <v>15.0</v>
      </c>
      <c r="F456" s="17">
        <v>812.0</v>
      </c>
      <c r="G456" s="17">
        <v>714.0</v>
      </c>
      <c r="H456" s="17">
        <v>20.0</v>
      </c>
      <c r="I456" s="17">
        <v>73066.8</v>
      </c>
      <c r="J456" s="17">
        <f t="shared" si="1"/>
        <v>11</v>
      </c>
    </row>
    <row r="457">
      <c r="A457" s="16">
        <v>43969.0</v>
      </c>
      <c r="B457" s="17" t="s">
        <v>18</v>
      </c>
      <c r="C457" s="17">
        <v>14290.5</v>
      </c>
      <c r="D457" s="17">
        <v>1246162.5</v>
      </c>
      <c r="E457" s="17">
        <v>16.0</v>
      </c>
      <c r="F457" s="17">
        <v>925.0</v>
      </c>
      <c r="G457" s="17">
        <v>816.0</v>
      </c>
      <c r="H457" s="17">
        <v>21.0</v>
      </c>
      <c r="I457" s="17">
        <v>77885.15625</v>
      </c>
      <c r="J457" s="17">
        <f t="shared" si="1"/>
        <v>11</v>
      </c>
    </row>
    <row r="458">
      <c r="A458" s="16">
        <v>43965.0</v>
      </c>
      <c r="B458" s="17" t="s">
        <v>18</v>
      </c>
      <c r="C458" s="17">
        <v>14385.0</v>
      </c>
      <c r="D458" s="17">
        <v>1223491.5</v>
      </c>
      <c r="E458" s="17">
        <v>15.0</v>
      </c>
      <c r="F458" s="17">
        <v>890.0</v>
      </c>
      <c r="G458" s="17">
        <v>777.0</v>
      </c>
      <c r="H458" s="17">
        <v>20.0</v>
      </c>
      <c r="I458" s="17">
        <v>81566.1</v>
      </c>
      <c r="J458" s="17">
        <f t="shared" si="1"/>
        <v>11</v>
      </c>
    </row>
    <row r="459">
      <c r="A459" s="16">
        <v>43966.0</v>
      </c>
      <c r="B459" s="17" t="s">
        <v>18</v>
      </c>
      <c r="C459" s="17">
        <v>16498.5</v>
      </c>
      <c r="D459" s="17">
        <v>1370482.5</v>
      </c>
      <c r="E459" s="17">
        <v>15.0</v>
      </c>
      <c r="F459" s="17">
        <v>980.0</v>
      </c>
      <c r="G459" s="17">
        <v>867.0</v>
      </c>
      <c r="H459" s="17">
        <v>20.0</v>
      </c>
      <c r="I459" s="17">
        <v>91365.5</v>
      </c>
      <c r="J459" s="17">
        <f t="shared" si="1"/>
        <v>11</v>
      </c>
    </row>
    <row r="460">
      <c r="A460" s="16">
        <v>43978.0</v>
      </c>
      <c r="B460" s="17" t="s">
        <v>19</v>
      </c>
      <c r="C460" s="17">
        <v>13203.0</v>
      </c>
      <c r="D460" s="17">
        <v>1211457.0</v>
      </c>
      <c r="E460" s="17">
        <v>15.0</v>
      </c>
      <c r="F460" s="17">
        <v>809.0</v>
      </c>
      <c r="G460" s="17">
        <v>702.0</v>
      </c>
      <c r="H460" s="17">
        <v>22.0</v>
      </c>
      <c r="I460" s="17">
        <v>80763.8</v>
      </c>
      <c r="J460" s="17">
        <f t="shared" si="1"/>
        <v>13</v>
      </c>
    </row>
    <row r="461">
      <c r="A461" s="16">
        <v>43973.0</v>
      </c>
      <c r="B461" s="17" t="s">
        <v>19</v>
      </c>
      <c r="C461" s="17">
        <v>15802.5</v>
      </c>
      <c r="D461" s="17">
        <v>1411909.5</v>
      </c>
      <c r="E461" s="17">
        <v>15.0</v>
      </c>
      <c r="F461" s="17">
        <v>903.0</v>
      </c>
      <c r="G461" s="17">
        <v>792.0</v>
      </c>
      <c r="H461" s="17">
        <v>21.0</v>
      </c>
      <c r="I461" s="17">
        <v>94127.3</v>
      </c>
      <c r="J461" s="17">
        <f t="shared" si="1"/>
        <v>13</v>
      </c>
    </row>
    <row r="462">
      <c r="A462" s="16">
        <v>43983.0</v>
      </c>
      <c r="B462" s="17" t="s">
        <v>19</v>
      </c>
      <c r="C462" s="17">
        <v>16476.0</v>
      </c>
      <c r="D462" s="17">
        <v>1565632.5</v>
      </c>
      <c r="E462" s="17">
        <v>16.0</v>
      </c>
      <c r="F462" s="17">
        <v>1019.0</v>
      </c>
      <c r="G462" s="17">
        <v>895.0</v>
      </c>
      <c r="H462" s="17">
        <v>23.0</v>
      </c>
      <c r="I462" s="17">
        <v>97852.03125</v>
      </c>
      <c r="J462" s="17">
        <f t="shared" si="1"/>
        <v>11</v>
      </c>
    </row>
    <row r="463">
      <c r="A463" s="16">
        <v>43962.0</v>
      </c>
      <c r="B463" s="17" t="s">
        <v>19</v>
      </c>
      <c r="C463" s="17">
        <v>12654.0</v>
      </c>
      <c r="D463" s="17">
        <v>1081158.0</v>
      </c>
      <c r="E463" s="17">
        <v>15.0</v>
      </c>
      <c r="F463" s="17">
        <v>684.0</v>
      </c>
      <c r="G463" s="17">
        <v>585.0</v>
      </c>
      <c r="H463" s="17">
        <v>20.0</v>
      </c>
      <c r="I463" s="17">
        <v>72077.2</v>
      </c>
      <c r="J463" s="17">
        <f t="shared" si="1"/>
        <v>12</v>
      </c>
    </row>
    <row r="464">
      <c r="A464" s="16">
        <v>43980.0</v>
      </c>
      <c r="B464" s="17" t="s">
        <v>18</v>
      </c>
      <c r="C464" s="17">
        <v>19647.0</v>
      </c>
      <c r="D464" s="17">
        <v>1764669.0</v>
      </c>
      <c r="E464" s="17">
        <v>17.0</v>
      </c>
      <c r="F464" s="17">
        <v>1296.0</v>
      </c>
      <c r="G464" s="17">
        <v>1153.0</v>
      </c>
      <c r="H464" s="17">
        <v>22.0</v>
      </c>
      <c r="I464" s="17">
        <v>103804.05882352941</v>
      </c>
      <c r="J464" s="17">
        <f t="shared" si="1"/>
        <v>11</v>
      </c>
    </row>
    <row r="465">
      <c r="A465" s="16">
        <v>43969.0</v>
      </c>
      <c r="B465" s="17" t="s">
        <v>19</v>
      </c>
      <c r="C465" s="17">
        <v>12450.0</v>
      </c>
      <c r="D465" s="17">
        <v>1115146.5</v>
      </c>
      <c r="E465" s="17">
        <v>15.0</v>
      </c>
      <c r="F465" s="17">
        <v>729.0</v>
      </c>
      <c r="G465" s="17">
        <v>636.0</v>
      </c>
      <c r="H465" s="17">
        <v>21.0</v>
      </c>
      <c r="I465" s="17">
        <v>74343.1</v>
      </c>
      <c r="J465" s="17">
        <f t="shared" si="1"/>
        <v>13</v>
      </c>
    </row>
    <row r="466">
      <c r="A466" s="16">
        <v>43965.0</v>
      </c>
      <c r="B466" s="17" t="s">
        <v>19</v>
      </c>
      <c r="C466" s="17">
        <v>11161.5</v>
      </c>
      <c r="D466" s="17">
        <v>963502.5</v>
      </c>
      <c r="E466" s="17">
        <v>15.0</v>
      </c>
      <c r="F466" s="17">
        <v>638.0</v>
      </c>
      <c r="G466" s="17">
        <v>548.0</v>
      </c>
      <c r="H466" s="17">
        <v>20.0</v>
      </c>
      <c r="I466" s="17">
        <v>64233.5</v>
      </c>
      <c r="J466" s="17">
        <f t="shared" si="1"/>
        <v>14</v>
      </c>
    </row>
    <row r="467">
      <c r="A467" s="16">
        <v>43966.0</v>
      </c>
      <c r="B467" s="17" t="s">
        <v>19</v>
      </c>
      <c r="C467" s="17">
        <v>12229.5</v>
      </c>
      <c r="D467" s="17">
        <v>1122730.5</v>
      </c>
      <c r="E467" s="17">
        <v>15.0</v>
      </c>
      <c r="F467" s="17">
        <v>688.0</v>
      </c>
      <c r="G467" s="17">
        <v>598.0</v>
      </c>
      <c r="H467" s="17">
        <v>20.0</v>
      </c>
      <c r="I467" s="17">
        <v>74848.7</v>
      </c>
      <c r="J467" s="17">
        <f t="shared" si="1"/>
        <v>13</v>
      </c>
    </row>
    <row r="468">
      <c r="A468" s="16">
        <v>43978.0</v>
      </c>
      <c r="B468" s="17" t="s">
        <v>20</v>
      </c>
      <c r="C468" s="17">
        <v>28050.0</v>
      </c>
      <c r="D468" s="17">
        <v>2458555.5</v>
      </c>
      <c r="E468" s="17">
        <v>20.0</v>
      </c>
      <c r="F468" s="17">
        <v>1873.0</v>
      </c>
      <c r="G468" s="17">
        <v>1715.0</v>
      </c>
      <c r="H468" s="17">
        <v>22.0</v>
      </c>
      <c r="I468" s="17">
        <v>122927.775</v>
      </c>
      <c r="J468" s="17">
        <f t="shared" si="1"/>
        <v>10</v>
      </c>
    </row>
    <row r="469">
      <c r="A469" s="16">
        <v>43973.0</v>
      </c>
      <c r="B469" s="17" t="s">
        <v>20</v>
      </c>
      <c r="C469" s="17">
        <v>30781.5</v>
      </c>
      <c r="D469" s="17">
        <v>2540715.0</v>
      </c>
      <c r="E469" s="17">
        <v>19.0</v>
      </c>
      <c r="F469" s="17">
        <v>1859.0</v>
      </c>
      <c r="G469" s="17">
        <v>1697.0</v>
      </c>
      <c r="H469" s="17">
        <v>21.0</v>
      </c>
      <c r="I469" s="17">
        <v>133721.84210526315</v>
      </c>
      <c r="J469" s="17">
        <f t="shared" si="1"/>
        <v>10</v>
      </c>
    </row>
    <row r="470">
      <c r="A470" s="16">
        <v>43983.0</v>
      </c>
      <c r="B470" s="17" t="s">
        <v>20</v>
      </c>
      <c r="C470" s="17">
        <v>27960.0</v>
      </c>
      <c r="D470" s="17">
        <v>2538967.5</v>
      </c>
      <c r="E470" s="17">
        <v>21.0</v>
      </c>
      <c r="F470" s="17">
        <v>1879.0</v>
      </c>
      <c r="G470" s="17">
        <v>1720.0</v>
      </c>
      <c r="H470" s="17">
        <v>23.0</v>
      </c>
      <c r="I470" s="17">
        <v>120903.21428571429</v>
      </c>
      <c r="J470" s="17">
        <f t="shared" si="1"/>
        <v>10</v>
      </c>
    </row>
    <row r="471">
      <c r="A471" s="16">
        <v>43962.0</v>
      </c>
      <c r="B471" s="17" t="s">
        <v>20</v>
      </c>
      <c r="C471" s="17">
        <v>23629.5</v>
      </c>
      <c r="D471" s="17">
        <v>2164365.0</v>
      </c>
      <c r="E471" s="17">
        <v>19.0</v>
      </c>
      <c r="F471" s="17">
        <v>1527.0</v>
      </c>
      <c r="G471" s="17">
        <v>1389.0</v>
      </c>
      <c r="H471" s="17">
        <v>20.0</v>
      </c>
      <c r="I471" s="17">
        <v>113913.94736842105</v>
      </c>
      <c r="J471" s="17">
        <f t="shared" si="1"/>
        <v>10</v>
      </c>
    </row>
    <row r="472">
      <c r="A472" s="16">
        <v>43980.0</v>
      </c>
      <c r="B472" s="17" t="s">
        <v>19</v>
      </c>
      <c r="C472" s="17">
        <v>17052.0</v>
      </c>
      <c r="D472" s="17">
        <v>1549020.0</v>
      </c>
      <c r="E472" s="17">
        <v>16.0</v>
      </c>
      <c r="F472" s="17">
        <v>981.0</v>
      </c>
      <c r="G472" s="17">
        <v>859.0</v>
      </c>
      <c r="H472" s="17">
        <v>22.0</v>
      </c>
      <c r="I472" s="17">
        <v>96813.75</v>
      </c>
      <c r="J472" s="17">
        <f t="shared" si="1"/>
        <v>12</v>
      </c>
    </row>
    <row r="473">
      <c r="A473" s="16">
        <v>43969.0</v>
      </c>
      <c r="B473" s="17" t="s">
        <v>20</v>
      </c>
      <c r="C473" s="17">
        <v>27181.5</v>
      </c>
      <c r="D473" s="17">
        <v>2324490.0</v>
      </c>
      <c r="E473" s="17">
        <v>19.0</v>
      </c>
      <c r="F473" s="17">
        <v>1741.0</v>
      </c>
      <c r="G473" s="17">
        <v>1597.0</v>
      </c>
      <c r="H473" s="17">
        <v>21.0</v>
      </c>
      <c r="I473" s="17">
        <v>122341.57894736843</v>
      </c>
      <c r="J473" s="17">
        <f t="shared" si="1"/>
        <v>10</v>
      </c>
    </row>
    <row r="474">
      <c r="A474" s="16">
        <v>43965.0</v>
      </c>
      <c r="B474" s="17" t="s">
        <v>20</v>
      </c>
      <c r="C474" s="17">
        <v>25656.0</v>
      </c>
      <c r="D474" s="17">
        <v>2225341.5</v>
      </c>
      <c r="E474" s="17">
        <v>19.0</v>
      </c>
      <c r="F474" s="17">
        <v>1635.0</v>
      </c>
      <c r="G474" s="17">
        <v>1487.0</v>
      </c>
      <c r="H474" s="17">
        <v>20.0</v>
      </c>
      <c r="I474" s="17">
        <v>117123.23684210527</v>
      </c>
      <c r="J474" s="17">
        <f t="shared" si="1"/>
        <v>10</v>
      </c>
    </row>
    <row r="475">
      <c r="A475" s="16">
        <v>43966.0</v>
      </c>
      <c r="B475" s="17" t="s">
        <v>20</v>
      </c>
      <c r="C475" s="17">
        <v>29283.0</v>
      </c>
      <c r="D475" s="17">
        <v>2477487.0</v>
      </c>
      <c r="E475" s="17">
        <v>19.0</v>
      </c>
      <c r="F475" s="17">
        <v>1780.0</v>
      </c>
      <c r="G475" s="17">
        <v>1615.0</v>
      </c>
      <c r="H475" s="17">
        <v>20.0</v>
      </c>
      <c r="I475" s="17">
        <v>130394.05263157895</v>
      </c>
      <c r="J475" s="17">
        <f t="shared" si="1"/>
        <v>10</v>
      </c>
    </row>
    <row r="476">
      <c r="A476" s="16">
        <v>43980.0</v>
      </c>
      <c r="B476" s="17" t="s">
        <v>20</v>
      </c>
      <c r="C476" s="17">
        <v>32782.5</v>
      </c>
      <c r="D476" s="17">
        <v>2854741.5</v>
      </c>
      <c r="E476" s="17">
        <v>20.0</v>
      </c>
      <c r="F476" s="17">
        <v>2064.0</v>
      </c>
      <c r="G476" s="17">
        <v>1896.0</v>
      </c>
      <c r="H476" s="17">
        <v>22.0</v>
      </c>
      <c r="I476" s="17">
        <v>142737.075</v>
      </c>
      <c r="J476" s="17">
        <f t="shared" si="1"/>
        <v>10</v>
      </c>
    </row>
    <row r="477">
      <c r="A477" s="16">
        <v>43978.0</v>
      </c>
      <c r="B477" s="17" t="s">
        <v>21</v>
      </c>
      <c r="C477" s="17">
        <v>215592.0</v>
      </c>
      <c r="D477" s="17">
        <v>2.23423005E7</v>
      </c>
      <c r="E477" s="17">
        <v>59.0</v>
      </c>
      <c r="F477" s="17">
        <v>13942.0</v>
      </c>
      <c r="G477" s="17">
        <v>12986.0</v>
      </c>
      <c r="H477" s="17">
        <v>22.0</v>
      </c>
      <c r="I477" s="17">
        <v>378683.0593220339</v>
      </c>
      <c r="J477" s="17">
        <f t="shared" si="1"/>
        <v>3</v>
      </c>
    </row>
    <row r="478">
      <c r="A478" s="16">
        <v>43973.0</v>
      </c>
      <c r="B478" s="17" t="s">
        <v>21</v>
      </c>
      <c r="C478" s="17">
        <v>228334.5</v>
      </c>
      <c r="D478" s="17">
        <v>2.23807725E7</v>
      </c>
      <c r="E478" s="17">
        <v>60.0</v>
      </c>
      <c r="F478" s="17">
        <v>14050.0</v>
      </c>
      <c r="G478" s="17">
        <v>13027.0</v>
      </c>
      <c r="H478" s="17">
        <v>21.0</v>
      </c>
      <c r="I478" s="17">
        <v>373012.875</v>
      </c>
      <c r="J478" s="17">
        <f t="shared" si="1"/>
        <v>3</v>
      </c>
    </row>
    <row r="479">
      <c r="A479" s="16">
        <v>43983.0</v>
      </c>
      <c r="B479" s="17" t="s">
        <v>21</v>
      </c>
      <c r="C479" s="17">
        <v>188776.5</v>
      </c>
      <c r="D479" s="17">
        <v>1.94653725E7</v>
      </c>
      <c r="E479" s="17">
        <v>59.0</v>
      </c>
      <c r="F479" s="17">
        <v>12299.0</v>
      </c>
      <c r="G479" s="17">
        <v>11448.0</v>
      </c>
      <c r="H479" s="17">
        <v>23.0</v>
      </c>
      <c r="I479" s="17">
        <v>329921.5677966102</v>
      </c>
      <c r="J479" s="17">
        <f t="shared" si="1"/>
        <v>3</v>
      </c>
    </row>
    <row r="480">
      <c r="A480" s="16">
        <v>43962.0</v>
      </c>
      <c r="B480" s="17" t="s">
        <v>21</v>
      </c>
      <c r="C480" s="17">
        <v>175293.0</v>
      </c>
      <c r="D480" s="17">
        <v>1.7919144E7</v>
      </c>
      <c r="E480" s="17">
        <v>60.0</v>
      </c>
      <c r="F480" s="17">
        <v>11100.0</v>
      </c>
      <c r="G480" s="17">
        <v>10407.0</v>
      </c>
      <c r="H480" s="17">
        <v>20.0</v>
      </c>
      <c r="I480" s="17">
        <v>298652.4</v>
      </c>
      <c r="J480" s="17">
        <f t="shared" si="1"/>
        <v>3</v>
      </c>
    </row>
    <row r="481">
      <c r="A481" s="16">
        <v>43969.0</v>
      </c>
      <c r="B481" s="17" t="s">
        <v>21</v>
      </c>
      <c r="C481" s="17">
        <v>201999.0</v>
      </c>
      <c r="D481" s="17">
        <v>2.04224355E7</v>
      </c>
      <c r="E481" s="17">
        <v>60.0</v>
      </c>
      <c r="F481" s="17">
        <v>12460.0</v>
      </c>
      <c r="G481" s="17">
        <v>11665.0</v>
      </c>
      <c r="H481" s="17">
        <v>21.0</v>
      </c>
      <c r="I481" s="17">
        <v>340373.925</v>
      </c>
      <c r="J481" s="17">
        <f t="shared" si="1"/>
        <v>3</v>
      </c>
    </row>
    <row r="482">
      <c r="A482" s="16">
        <v>43965.0</v>
      </c>
      <c r="B482" s="17" t="s">
        <v>21</v>
      </c>
      <c r="C482" s="17">
        <v>197946.0</v>
      </c>
      <c r="D482" s="17">
        <v>1.99424355E7</v>
      </c>
      <c r="E482" s="17">
        <v>60.0</v>
      </c>
      <c r="F482" s="17">
        <v>11935.0</v>
      </c>
      <c r="G482" s="17">
        <v>11178.0</v>
      </c>
      <c r="H482" s="17">
        <v>20.0</v>
      </c>
      <c r="I482" s="17">
        <v>332373.925</v>
      </c>
      <c r="J482" s="17">
        <f t="shared" si="1"/>
        <v>3</v>
      </c>
    </row>
    <row r="483">
      <c r="A483" s="16">
        <v>43966.0</v>
      </c>
      <c r="B483" s="17" t="s">
        <v>21</v>
      </c>
      <c r="C483" s="17">
        <v>230896.5</v>
      </c>
      <c r="D483" s="17">
        <v>2.3085222E7</v>
      </c>
      <c r="E483" s="17">
        <v>60.0</v>
      </c>
      <c r="F483" s="17">
        <v>13544.0</v>
      </c>
      <c r="G483" s="17">
        <v>12643.0</v>
      </c>
      <c r="H483" s="17">
        <v>20.0</v>
      </c>
      <c r="I483" s="17">
        <v>384753.7</v>
      </c>
      <c r="J483" s="17">
        <f t="shared" si="1"/>
        <v>3</v>
      </c>
    </row>
    <row r="484">
      <c r="A484" s="16">
        <v>43978.0</v>
      </c>
      <c r="B484" s="17" t="s">
        <v>22</v>
      </c>
      <c r="C484" s="17">
        <v>203532.0</v>
      </c>
      <c r="D484" s="17">
        <v>2.09533245E7</v>
      </c>
      <c r="E484" s="17">
        <v>54.0</v>
      </c>
      <c r="F484" s="17">
        <v>13091.0</v>
      </c>
      <c r="G484" s="17">
        <v>12216.0</v>
      </c>
      <c r="H484" s="17">
        <v>22.0</v>
      </c>
      <c r="I484" s="17">
        <v>388024.52777777775</v>
      </c>
      <c r="J484" s="17">
        <f t="shared" si="1"/>
        <v>4</v>
      </c>
    </row>
    <row r="485">
      <c r="A485" s="16">
        <v>43973.0</v>
      </c>
      <c r="B485" s="17" t="s">
        <v>22</v>
      </c>
      <c r="C485" s="17">
        <v>214428.0</v>
      </c>
      <c r="D485" s="17">
        <v>2.08125855E7</v>
      </c>
      <c r="E485" s="17">
        <v>54.0</v>
      </c>
      <c r="F485" s="17">
        <v>13014.0</v>
      </c>
      <c r="G485" s="17">
        <v>12095.0</v>
      </c>
      <c r="H485" s="17">
        <v>21.0</v>
      </c>
      <c r="I485" s="17">
        <v>385418.25</v>
      </c>
      <c r="J485" s="17">
        <f t="shared" si="1"/>
        <v>4</v>
      </c>
    </row>
    <row r="486">
      <c r="A486" s="16">
        <v>43983.0</v>
      </c>
      <c r="B486" s="17" t="s">
        <v>22</v>
      </c>
      <c r="C486" s="17">
        <v>183228.0</v>
      </c>
      <c r="D486" s="17">
        <v>1.89141945E7</v>
      </c>
      <c r="E486" s="17">
        <v>54.0</v>
      </c>
      <c r="F486" s="17">
        <v>11864.0</v>
      </c>
      <c r="G486" s="17">
        <v>11071.0</v>
      </c>
      <c r="H486" s="17">
        <v>23.0</v>
      </c>
      <c r="I486" s="17">
        <v>350262.8611111111</v>
      </c>
      <c r="J486" s="17">
        <f t="shared" si="1"/>
        <v>4</v>
      </c>
    </row>
    <row r="487">
      <c r="A487" s="16">
        <v>43962.0</v>
      </c>
      <c r="B487" s="17" t="s">
        <v>22</v>
      </c>
      <c r="C487" s="17">
        <v>166948.5</v>
      </c>
      <c r="D487" s="17">
        <v>1.6971231E7</v>
      </c>
      <c r="E487" s="17">
        <v>54.0</v>
      </c>
      <c r="F487" s="17">
        <v>10570.0</v>
      </c>
      <c r="G487" s="17">
        <v>9926.0</v>
      </c>
      <c r="H487" s="17">
        <v>20.0</v>
      </c>
      <c r="I487" s="17">
        <v>314282.05555555556</v>
      </c>
      <c r="J487" s="17">
        <f t="shared" si="1"/>
        <v>4</v>
      </c>
    </row>
    <row r="488">
      <c r="A488" s="16">
        <v>43980.0</v>
      </c>
      <c r="B488" s="17" t="s">
        <v>21</v>
      </c>
      <c r="C488" s="17">
        <v>232102.5</v>
      </c>
      <c r="D488" s="17">
        <v>2.31204435E7</v>
      </c>
      <c r="E488" s="17">
        <v>59.0</v>
      </c>
      <c r="F488" s="17">
        <v>14507.0</v>
      </c>
      <c r="G488" s="17">
        <v>13386.0</v>
      </c>
      <c r="H488" s="17">
        <v>22.0</v>
      </c>
      <c r="I488" s="17">
        <v>391871.92372881353</v>
      </c>
      <c r="J488" s="17">
        <f t="shared" si="1"/>
        <v>3</v>
      </c>
    </row>
    <row r="489">
      <c r="A489" s="16">
        <v>43969.0</v>
      </c>
      <c r="B489" s="17" t="s">
        <v>22</v>
      </c>
      <c r="C489" s="17">
        <v>196560.0</v>
      </c>
      <c r="D489" s="17">
        <v>1.9855122E7</v>
      </c>
      <c r="E489" s="17">
        <v>54.0</v>
      </c>
      <c r="F489" s="17">
        <v>12012.0</v>
      </c>
      <c r="G489" s="17">
        <v>11308.0</v>
      </c>
      <c r="H489" s="17">
        <v>21.0</v>
      </c>
      <c r="I489" s="17">
        <v>367687.44444444444</v>
      </c>
      <c r="J489" s="17">
        <f t="shared" si="1"/>
        <v>4</v>
      </c>
    </row>
    <row r="490">
      <c r="A490" s="16">
        <v>43965.0</v>
      </c>
      <c r="B490" s="17" t="s">
        <v>22</v>
      </c>
      <c r="C490" s="17">
        <v>186496.5</v>
      </c>
      <c r="D490" s="17">
        <v>1.8640998E7</v>
      </c>
      <c r="E490" s="17">
        <v>54.0</v>
      </c>
      <c r="F490" s="17">
        <v>11194.0</v>
      </c>
      <c r="G490" s="17">
        <v>10554.0</v>
      </c>
      <c r="H490" s="17">
        <v>20.0</v>
      </c>
      <c r="I490" s="17">
        <v>345203.6666666667</v>
      </c>
      <c r="J490" s="17">
        <f t="shared" si="1"/>
        <v>4</v>
      </c>
    </row>
    <row r="491">
      <c r="A491" s="16">
        <v>43966.0</v>
      </c>
      <c r="B491" s="17" t="s">
        <v>22</v>
      </c>
      <c r="C491" s="17">
        <v>219772.5</v>
      </c>
      <c r="D491" s="17">
        <v>2.18952945E7</v>
      </c>
      <c r="E491" s="17">
        <v>54.0</v>
      </c>
      <c r="F491" s="17">
        <v>12791.0</v>
      </c>
      <c r="G491" s="17">
        <v>11950.0</v>
      </c>
      <c r="H491" s="17">
        <v>20.0</v>
      </c>
      <c r="I491" s="17">
        <v>405468.4166666667</v>
      </c>
      <c r="J491" s="17">
        <f t="shared" si="1"/>
        <v>4</v>
      </c>
    </row>
    <row r="492">
      <c r="A492" s="16">
        <v>43980.0</v>
      </c>
      <c r="B492" s="17" t="s">
        <v>22</v>
      </c>
      <c r="C492" s="17">
        <v>226476.0</v>
      </c>
      <c r="D492" s="17">
        <v>2.24161515E7</v>
      </c>
      <c r="E492" s="17">
        <v>54.0</v>
      </c>
      <c r="F492" s="17">
        <v>14031.0</v>
      </c>
      <c r="G492" s="17">
        <v>12943.0</v>
      </c>
      <c r="H492" s="17">
        <v>22.0</v>
      </c>
      <c r="I492" s="17">
        <v>415113.9166666667</v>
      </c>
      <c r="J492" s="17">
        <f t="shared" si="1"/>
        <v>4</v>
      </c>
    </row>
    <row r="493">
      <c r="A493" s="16">
        <v>43978.0</v>
      </c>
      <c r="B493" s="17" t="s">
        <v>24</v>
      </c>
      <c r="C493" s="17">
        <v>8362.5</v>
      </c>
      <c r="D493" s="17">
        <v>687684.0</v>
      </c>
      <c r="E493" s="17">
        <v>7.0</v>
      </c>
      <c r="F493" s="17">
        <v>409.0</v>
      </c>
      <c r="G493" s="17">
        <v>329.0</v>
      </c>
      <c r="H493" s="17">
        <v>22.0</v>
      </c>
      <c r="I493" s="17">
        <v>98240.57142857143</v>
      </c>
      <c r="J493" s="17">
        <f t="shared" si="1"/>
        <v>15</v>
      </c>
    </row>
    <row r="494">
      <c r="A494" s="16">
        <v>43973.0</v>
      </c>
      <c r="B494" s="17" t="s">
        <v>23</v>
      </c>
      <c r="C494" s="17">
        <v>17008.5</v>
      </c>
      <c r="D494" s="17">
        <v>1398771.0</v>
      </c>
      <c r="E494" s="17">
        <v>18.0</v>
      </c>
      <c r="F494" s="17">
        <v>985.0</v>
      </c>
      <c r="G494" s="17">
        <v>861.0</v>
      </c>
      <c r="H494" s="17">
        <v>21.0</v>
      </c>
      <c r="I494" s="17">
        <v>77709.5</v>
      </c>
      <c r="J494" s="17">
        <f t="shared" si="1"/>
        <v>14</v>
      </c>
    </row>
    <row r="495">
      <c r="A495" s="16">
        <v>43983.0</v>
      </c>
      <c r="B495" s="17" t="s">
        <v>25</v>
      </c>
      <c r="C495" s="17">
        <v>5166.0</v>
      </c>
      <c r="D495" s="17">
        <v>389013.0</v>
      </c>
      <c r="E495" s="17">
        <v>9.0</v>
      </c>
      <c r="F495" s="17">
        <v>294.0</v>
      </c>
      <c r="G495" s="17">
        <v>224.0</v>
      </c>
      <c r="H495" s="17">
        <v>23.0</v>
      </c>
      <c r="I495" s="17">
        <v>43223.666666666664</v>
      </c>
      <c r="J495" s="17">
        <f t="shared" si="1"/>
        <v>18</v>
      </c>
    </row>
    <row r="496">
      <c r="A496" s="16">
        <v>43962.0</v>
      </c>
      <c r="B496" s="17" t="s">
        <v>23</v>
      </c>
      <c r="C496" s="17">
        <v>10941.0</v>
      </c>
      <c r="D496" s="17">
        <v>880356.0</v>
      </c>
      <c r="E496" s="17">
        <v>15.0</v>
      </c>
      <c r="F496" s="17">
        <v>654.0</v>
      </c>
      <c r="G496" s="17">
        <v>564.0</v>
      </c>
      <c r="H496" s="17">
        <v>20.0</v>
      </c>
      <c r="I496" s="17">
        <v>58690.4</v>
      </c>
      <c r="J496" s="17">
        <f t="shared" si="1"/>
        <v>13</v>
      </c>
    </row>
    <row r="497">
      <c r="A497" s="16">
        <v>43969.0</v>
      </c>
      <c r="B497" s="17" t="s">
        <v>23</v>
      </c>
      <c r="C497" s="17">
        <v>14497.5</v>
      </c>
      <c r="D497" s="17">
        <v>1230711.0</v>
      </c>
      <c r="E497" s="17">
        <v>16.0</v>
      </c>
      <c r="F497" s="17">
        <v>864.0</v>
      </c>
      <c r="G497" s="17">
        <v>765.0</v>
      </c>
      <c r="H497" s="17">
        <v>21.0</v>
      </c>
      <c r="I497" s="17">
        <v>76919.4375</v>
      </c>
      <c r="J497" s="17">
        <f t="shared" si="1"/>
        <v>12</v>
      </c>
    </row>
    <row r="498">
      <c r="A498" s="16">
        <v>43965.0</v>
      </c>
      <c r="B498" s="17" t="s">
        <v>23</v>
      </c>
      <c r="C498" s="17">
        <v>13810.5</v>
      </c>
      <c r="D498" s="17">
        <v>1131676.5</v>
      </c>
      <c r="E498" s="17">
        <v>16.0</v>
      </c>
      <c r="F498" s="17">
        <v>834.0</v>
      </c>
      <c r="G498" s="17">
        <v>735.0</v>
      </c>
      <c r="H498" s="17">
        <v>20.0</v>
      </c>
      <c r="I498" s="17">
        <v>70729.78125</v>
      </c>
      <c r="J498" s="17">
        <f t="shared" si="1"/>
        <v>12</v>
      </c>
    </row>
    <row r="499">
      <c r="A499" s="16">
        <v>43966.0</v>
      </c>
      <c r="B499" s="17" t="s">
        <v>23</v>
      </c>
      <c r="C499" s="17">
        <v>13752.0</v>
      </c>
      <c r="D499" s="17">
        <v>1091040.0</v>
      </c>
      <c r="E499" s="17">
        <v>16.0</v>
      </c>
      <c r="F499" s="17">
        <v>817.0</v>
      </c>
      <c r="G499" s="17">
        <v>718.0</v>
      </c>
      <c r="H499" s="17">
        <v>20.0</v>
      </c>
      <c r="I499" s="17">
        <v>68190.0</v>
      </c>
      <c r="J499" s="17">
        <f t="shared" si="1"/>
        <v>14</v>
      </c>
    </row>
    <row r="500">
      <c r="A500" s="16">
        <v>43978.0</v>
      </c>
      <c r="B500" s="17" t="s">
        <v>23</v>
      </c>
      <c r="C500" s="17">
        <v>15276.0</v>
      </c>
      <c r="D500" s="17">
        <v>1350199.5</v>
      </c>
      <c r="E500" s="17">
        <v>18.0</v>
      </c>
      <c r="F500" s="17">
        <v>962.0</v>
      </c>
      <c r="G500" s="17">
        <v>859.0</v>
      </c>
      <c r="H500" s="17">
        <v>22.0</v>
      </c>
      <c r="I500" s="17">
        <v>75011.08333333333</v>
      </c>
      <c r="J500" s="17">
        <f t="shared" si="1"/>
        <v>12</v>
      </c>
    </row>
    <row r="501">
      <c r="A501" s="16">
        <v>43983.0</v>
      </c>
      <c r="B501" s="17" t="s">
        <v>26</v>
      </c>
      <c r="C501" s="17">
        <v>4408.5</v>
      </c>
      <c r="D501" s="17">
        <v>410892.0</v>
      </c>
      <c r="E501" s="17">
        <v>6.0</v>
      </c>
      <c r="F501" s="17">
        <v>237.0</v>
      </c>
      <c r="G501" s="17">
        <v>175.0</v>
      </c>
      <c r="H501" s="17">
        <v>23.0</v>
      </c>
      <c r="I501" s="17">
        <v>68482.0</v>
      </c>
      <c r="J501" s="17">
        <f t="shared" si="1"/>
        <v>17</v>
      </c>
    </row>
    <row r="502">
      <c r="A502" s="16">
        <v>43980.0</v>
      </c>
      <c r="B502" s="17" t="s">
        <v>24</v>
      </c>
      <c r="C502" s="17">
        <v>9927.0</v>
      </c>
      <c r="D502" s="17">
        <v>850840.5</v>
      </c>
      <c r="E502" s="17">
        <v>7.0</v>
      </c>
      <c r="F502" s="17">
        <v>491.0</v>
      </c>
      <c r="G502" s="17">
        <v>411.0</v>
      </c>
      <c r="H502" s="17">
        <v>22.0</v>
      </c>
      <c r="I502" s="17">
        <v>121548.64285714286</v>
      </c>
      <c r="J502" s="17">
        <f t="shared" si="1"/>
        <v>15</v>
      </c>
    </row>
    <row r="503">
      <c r="A503" s="16">
        <v>43983.0</v>
      </c>
      <c r="B503" s="17" t="s">
        <v>24</v>
      </c>
      <c r="C503" s="17">
        <v>9474.0</v>
      </c>
      <c r="D503" s="17">
        <v>802447.5</v>
      </c>
      <c r="E503" s="17">
        <v>7.0</v>
      </c>
      <c r="F503" s="17">
        <v>500.0</v>
      </c>
      <c r="G503" s="17">
        <v>418.0</v>
      </c>
      <c r="H503" s="17">
        <v>23.0</v>
      </c>
      <c r="I503" s="17">
        <v>114635.35714285714</v>
      </c>
      <c r="J503" s="17">
        <f t="shared" si="1"/>
        <v>15</v>
      </c>
    </row>
    <row r="504">
      <c r="A504" s="16">
        <v>43980.0</v>
      </c>
      <c r="B504" s="17" t="s">
        <v>23</v>
      </c>
      <c r="C504" s="17">
        <v>16878.0</v>
      </c>
      <c r="D504" s="17">
        <v>1438255.5</v>
      </c>
      <c r="E504" s="17">
        <v>18.0</v>
      </c>
      <c r="F504" s="17">
        <v>1014.0</v>
      </c>
      <c r="G504" s="17">
        <v>893.0</v>
      </c>
      <c r="H504" s="17">
        <v>22.0</v>
      </c>
      <c r="I504" s="17">
        <v>79903.08333333333</v>
      </c>
      <c r="J504" s="17">
        <f t="shared" si="1"/>
        <v>13</v>
      </c>
    </row>
    <row r="505">
      <c r="A505" s="16">
        <v>43983.0</v>
      </c>
      <c r="B505" s="17" t="s">
        <v>23</v>
      </c>
      <c r="C505" s="17">
        <v>14238.0</v>
      </c>
      <c r="D505" s="17">
        <v>1293219.0</v>
      </c>
      <c r="E505" s="17">
        <v>18.0</v>
      </c>
      <c r="F505" s="17">
        <v>923.0</v>
      </c>
      <c r="G505" s="17">
        <v>824.0</v>
      </c>
      <c r="H505" s="17">
        <v>23.0</v>
      </c>
      <c r="I505" s="17">
        <v>71845.5</v>
      </c>
      <c r="J505" s="17">
        <f t="shared" si="1"/>
        <v>13</v>
      </c>
    </row>
    <row r="506">
      <c r="A506" s="18"/>
      <c r="B506" s="18"/>
      <c r="C506" s="18"/>
      <c r="D506" s="18"/>
      <c r="E506" s="18"/>
      <c r="F506" s="18"/>
      <c r="G506" s="18"/>
      <c r="H506" s="18"/>
      <c r="I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3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autoFilter ref="$A$1:$C$20">
    <sortState ref="A1:C20">
      <sortCondition ref="C1:C20"/>
    </sortState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26" width="8.71"/>
  </cols>
  <sheetData>
    <row r="1" ht="14.25" customHeight="1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ht="14.25" customHeight="1">
      <c r="A2" s="20">
        <v>43949.0</v>
      </c>
      <c r="B2" s="7" t="s">
        <v>16</v>
      </c>
      <c r="C2" s="7">
        <v>36.0</v>
      </c>
      <c r="D2" s="7">
        <v>4923.0</v>
      </c>
      <c r="E2" s="7">
        <v>4560.0</v>
      </c>
    </row>
    <row r="3" ht="14.25" customHeight="1">
      <c r="A3" s="20">
        <v>43949.0</v>
      </c>
      <c r="B3" s="7" t="s">
        <v>11</v>
      </c>
      <c r="C3" s="7">
        <v>31.0</v>
      </c>
      <c r="D3" s="7">
        <v>5465.0</v>
      </c>
      <c r="E3" s="7">
        <v>5096.0</v>
      </c>
    </row>
    <row r="4" ht="14.25" customHeight="1">
      <c r="A4" s="20">
        <v>43949.0</v>
      </c>
      <c r="B4" s="7" t="s">
        <v>17</v>
      </c>
      <c r="C4" s="7">
        <v>19.0</v>
      </c>
      <c r="D4" s="7">
        <v>1846.0</v>
      </c>
      <c r="E4" s="7">
        <v>1681.0</v>
      </c>
    </row>
    <row r="5" ht="14.25" customHeight="1">
      <c r="A5" s="20">
        <v>43949.0</v>
      </c>
      <c r="B5" s="7" t="s">
        <v>10</v>
      </c>
      <c r="C5" s="7">
        <v>18.0</v>
      </c>
      <c r="D5" s="7">
        <v>1539.0</v>
      </c>
      <c r="E5" s="7">
        <v>1404.0</v>
      </c>
    </row>
    <row r="6" ht="14.25" customHeight="1">
      <c r="A6" s="20">
        <v>43949.0</v>
      </c>
      <c r="B6" s="7" t="s">
        <v>20</v>
      </c>
      <c r="C6" s="7">
        <v>18.0</v>
      </c>
      <c r="D6" s="7">
        <v>1505.0</v>
      </c>
      <c r="E6" s="7">
        <v>1368.0</v>
      </c>
    </row>
    <row r="7" ht="14.25" customHeight="1">
      <c r="A7" s="20">
        <v>43949.0</v>
      </c>
      <c r="B7" s="7" t="s">
        <v>22</v>
      </c>
      <c r="C7" s="7">
        <v>54.0</v>
      </c>
      <c r="D7" s="7">
        <v>12306.0</v>
      </c>
      <c r="E7" s="7">
        <v>11532.0</v>
      </c>
    </row>
    <row r="8" ht="14.25" customHeight="1">
      <c r="A8" s="20">
        <v>43949.0</v>
      </c>
      <c r="B8" s="7" t="s">
        <v>21</v>
      </c>
      <c r="C8" s="7">
        <v>59.0</v>
      </c>
      <c r="D8" s="7">
        <v>12943.0</v>
      </c>
      <c r="E8" s="7">
        <v>12072.0</v>
      </c>
    </row>
    <row r="9" ht="14.25" customHeight="1">
      <c r="A9" s="20">
        <v>43949.0</v>
      </c>
      <c r="B9" s="7" t="s">
        <v>13</v>
      </c>
      <c r="C9" s="7">
        <v>17.0</v>
      </c>
      <c r="D9" s="7">
        <v>1439.0</v>
      </c>
      <c r="E9" s="7">
        <v>1265.0</v>
      </c>
    </row>
    <row r="10" ht="14.25" customHeight="1">
      <c r="A10" s="20">
        <v>43949.0</v>
      </c>
      <c r="B10" s="7" t="s">
        <v>23</v>
      </c>
      <c r="C10" s="7">
        <v>15.0</v>
      </c>
      <c r="D10" s="7">
        <v>636.0</v>
      </c>
      <c r="E10" s="7">
        <v>547.0</v>
      </c>
    </row>
    <row r="11" ht="14.25" customHeight="1">
      <c r="A11" s="20">
        <v>43949.0</v>
      </c>
      <c r="B11" s="7" t="s">
        <v>18</v>
      </c>
      <c r="C11" s="7">
        <v>15.0</v>
      </c>
      <c r="D11" s="7">
        <v>780.0</v>
      </c>
      <c r="E11" s="7">
        <v>690.0</v>
      </c>
    </row>
    <row r="12" ht="14.25" customHeight="1">
      <c r="A12" s="20">
        <v>43949.0</v>
      </c>
      <c r="B12" s="7" t="s">
        <v>15</v>
      </c>
      <c r="C12" s="7">
        <v>125.0</v>
      </c>
      <c r="D12" s="7">
        <v>20914.0</v>
      </c>
      <c r="E12" s="7">
        <v>19479.0</v>
      </c>
    </row>
    <row r="13" ht="14.25" customHeight="1">
      <c r="A13" s="20">
        <v>43949.0</v>
      </c>
      <c r="B13" s="7" t="s">
        <v>14</v>
      </c>
      <c r="C13" s="7">
        <v>128.0</v>
      </c>
      <c r="D13" s="7">
        <v>16450.0</v>
      </c>
      <c r="E13" s="7">
        <v>15320.0</v>
      </c>
    </row>
    <row r="14" ht="14.25" customHeight="1">
      <c r="A14" s="20">
        <v>43949.0</v>
      </c>
      <c r="B14" s="7" t="s">
        <v>12</v>
      </c>
      <c r="C14" s="7">
        <v>10.0</v>
      </c>
      <c r="D14" s="7">
        <v>580.0</v>
      </c>
      <c r="E14" s="7">
        <v>506.0</v>
      </c>
    </row>
    <row r="15" ht="14.25" customHeight="1">
      <c r="A15" s="20">
        <v>43950.0</v>
      </c>
      <c r="B15" s="7" t="s">
        <v>16</v>
      </c>
      <c r="C15" s="7">
        <v>36.0</v>
      </c>
      <c r="D15" s="7">
        <v>4937.0</v>
      </c>
      <c r="E15" s="7">
        <v>4561.0</v>
      </c>
    </row>
    <row r="16" ht="14.25" customHeight="1">
      <c r="A16" s="20">
        <v>43950.0</v>
      </c>
      <c r="B16" s="7" t="s">
        <v>11</v>
      </c>
      <c r="C16" s="7">
        <v>31.0</v>
      </c>
      <c r="D16" s="7">
        <v>5378.0</v>
      </c>
      <c r="E16" s="7">
        <v>4985.0</v>
      </c>
    </row>
    <row r="17" ht="14.25" customHeight="1">
      <c r="A17" s="20">
        <v>43950.0</v>
      </c>
      <c r="B17" s="7" t="s">
        <v>17</v>
      </c>
      <c r="C17" s="7">
        <v>19.0</v>
      </c>
      <c r="D17" s="7">
        <v>1676.0</v>
      </c>
      <c r="E17" s="7">
        <v>1516.0</v>
      </c>
    </row>
    <row r="18" ht="14.25" customHeight="1">
      <c r="A18" s="20">
        <v>43950.0</v>
      </c>
      <c r="B18" s="7" t="s">
        <v>10</v>
      </c>
      <c r="C18" s="7">
        <v>18.0</v>
      </c>
      <c r="D18" s="7">
        <v>1684.0</v>
      </c>
      <c r="E18" s="7">
        <v>1528.0</v>
      </c>
    </row>
    <row r="19" ht="14.25" customHeight="1">
      <c r="A19" s="20">
        <v>43950.0</v>
      </c>
      <c r="B19" s="7" t="s">
        <v>20</v>
      </c>
      <c r="C19" s="7">
        <v>18.0</v>
      </c>
      <c r="D19" s="7">
        <v>1599.0</v>
      </c>
      <c r="E19" s="7">
        <v>1450.0</v>
      </c>
    </row>
    <row r="20" ht="14.25" customHeight="1">
      <c r="A20" s="20">
        <v>43950.0</v>
      </c>
      <c r="B20" s="7" t="s">
        <v>22</v>
      </c>
      <c r="C20" s="7">
        <v>54.0</v>
      </c>
      <c r="D20" s="7">
        <v>12747.0</v>
      </c>
      <c r="E20" s="7">
        <v>11884.0</v>
      </c>
    </row>
    <row r="21" ht="14.25" customHeight="1">
      <c r="A21" s="20">
        <v>43950.0</v>
      </c>
      <c r="B21" s="7" t="s">
        <v>21</v>
      </c>
      <c r="C21" s="7">
        <v>59.0</v>
      </c>
      <c r="D21" s="7">
        <v>13186.0</v>
      </c>
      <c r="E21" s="7">
        <v>12251.0</v>
      </c>
    </row>
    <row r="22" ht="14.25" customHeight="1">
      <c r="A22" s="20">
        <v>43950.0</v>
      </c>
      <c r="B22" s="7" t="s">
        <v>13</v>
      </c>
      <c r="C22" s="7">
        <v>18.0</v>
      </c>
      <c r="D22" s="7">
        <v>1534.0</v>
      </c>
      <c r="E22" s="7">
        <v>1369.0</v>
      </c>
    </row>
    <row r="23" ht="14.25" customHeight="1">
      <c r="A23" s="20">
        <v>43950.0</v>
      </c>
      <c r="B23" s="7" t="s">
        <v>23</v>
      </c>
      <c r="C23" s="7">
        <v>15.0</v>
      </c>
      <c r="D23" s="7">
        <v>659.0</v>
      </c>
      <c r="E23" s="7">
        <v>575.0</v>
      </c>
    </row>
    <row r="24" ht="14.25" customHeight="1">
      <c r="A24" s="20">
        <v>43950.0</v>
      </c>
      <c r="B24" s="7" t="s">
        <v>18</v>
      </c>
      <c r="C24" s="7">
        <v>15.0</v>
      </c>
      <c r="D24" s="7">
        <v>786.0</v>
      </c>
      <c r="E24" s="7">
        <v>695.0</v>
      </c>
    </row>
    <row r="25" ht="14.25" customHeight="1">
      <c r="A25" s="20">
        <v>43950.0</v>
      </c>
      <c r="B25" s="7" t="s">
        <v>15</v>
      </c>
      <c r="C25" s="7">
        <v>125.0</v>
      </c>
      <c r="D25" s="7">
        <v>21863.0</v>
      </c>
      <c r="E25" s="7">
        <v>20160.0</v>
      </c>
    </row>
    <row r="26" ht="14.25" customHeight="1">
      <c r="A26" s="20">
        <v>43950.0</v>
      </c>
      <c r="B26" s="7" t="s">
        <v>14</v>
      </c>
      <c r="C26" s="7">
        <v>128.0</v>
      </c>
      <c r="D26" s="7">
        <v>17368.0</v>
      </c>
      <c r="E26" s="7">
        <v>16077.0</v>
      </c>
    </row>
    <row r="27" ht="14.25" customHeight="1">
      <c r="A27" s="20">
        <v>43950.0</v>
      </c>
      <c r="B27" s="7" t="s">
        <v>12</v>
      </c>
      <c r="C27" s="7">
        <v>10.0</v>
      </c>
      <c r="D27" s="7">
        <v>502.0</v>
      </c>
      <c r="E27" s="7">
        <v>433.0</v>
      </c>
    </row>
    <row r="28" ht="14.25" customHeight="1">
      <c r="A28" s="20">
        <v>43951.0</v>
      </c>
      <c r="B28" s="7" t="s">
        <v>16</v>
      </c>
      <c r="C28" s="7">
        <v>36.0</v>
      </c>
      <c r="D28" s="7">
        <v>5143.0</v>
      </c>
      <c r="E28" s="7">
        <v>4715.0</v>
      </c>
    </row>
    <row r="29" ht="14.25" customHeight="1">
      <c r="A29" s="20">
        <v>43951.0</v>
      </c>
      <c r="B29" s="7" t="s">
        <v>11</v>
      </c>
      <c r="C29" s="7">
        <v>31.0</v>
      </c>
      <c r="D29" s="7">
        <v>5120.0</v>
      </c>
      <c r="E29" s="7">
        <v>4737.0</v>
      </c>
    </row>
    <row r="30" ht="14.25" customHeight="1">
      <c r="A30" s="20">
        <v>43951.0</v>
      </c>
      <c r="B30" s="7" t="s">
        <v>17</v>
      </c>
      <c r="C30" s="7">
        <v>20.0</v>
      </c>
      <c r="D30" s="7">
        <v>1756.0</v>
      </c>
      <c r="E30" s="7">
        <v>1586.0</v>
      </c>
    </row>
    <row r="31" ht="14.25" customHeight="1">
      <c r="A31" s="20">
        <v>43951.0</v>
      </c>
      <c r="B31" s="7" t="s">
        <v>10</v>
      </c>
      <c r="C31" s="7">
        <v>19.0</v>
      </c>
      <c r="D31" s="7">
        <v>1712.0</v>
      </c>
      <c r="E31" s="7">
        <v>1552.0</v>
      </c>
    </row>
    <row r="32" ht="14.25" customHeight="1">
      <c r="A32" s="20">
        <v>43951.0</v>
      </c>
      <c r="B32" s="7" t="s">
        <v>20</v>
      </c>
      <c r="C32" s="7">
        <v>19.0</v>
      </c>
      <c r="D32" s="7">
        <v>1662.0</v>
      </c>
      <c r="E32" s="7">
        <v>1506.0</v>
      </c>
    </row>
    <row r="33" ht="14.25" customHeight="1">
      <c r="A33" s="20">
        <v>43951.0</v>
      </c>
      <c r="B33" s="7" t="s">
        <v>22</v>
      </c>
      <c r="C33" s="7">
        <v>54.0</v>
      </c>
      <c r="D33" s="7">
        <v>12817.0</v>
      </c>
      <c r="E33" s="7">
        <v>11865.0</v>
      </c>
    </row>
    <row r="34" ht="14.25" customHeight="1">
      <c r="A34" s="20">
        <v>43951.0</v>
      </c>
      <c r="B34" s="7" t="s">
        <v>21</v>
      </c>
      <c r="C34" s="7">
        <v>59.0</v>
      </c>
      <c r="D34" s="7">
        <v>13251.0</v>
      </c>
      <c r="E34" s="7">
        <v>12255.0</v>
      </c>
    </row>
    <row r="35" ht="14.25" customHeight="1">
      <c r="A35" s="20">
        <v>43951.0</v>
      </c>
      <c r="B35" s="7" t="s">
        <v>13</v>
      </c>
      <c r="C35" s="7">
        <v>19.0</v>
      </c>
      <c r="D35" s="7">
        <v>1499.0</v>
      </c>
      <c r="E35" s="7">
        <v>1322.0</v>
      </c>
    </row>
    <row r="36" ht="14.25" customHeight="1">
      <c r="A36" s="20">
        <v>43951.0</v>
      </c>
      <c r="B36" s="7" t="s">
        <v>23</v>
      </c>
      <c r="C36" s="7">
        <v>15.0</v>
      </c>
      <c r="D36" s="7">
        <v>644.0</v>
      </c>
      <c r="E36" s="7">
        <v>550.0</v>
      </c>
    </row>
    <row r="37" ht="14.25" customHeight="1">
      <c r="A37" s="20">
        <v>43951.0</v>
      </c>
      <c r="B37" s="7" t="s">
        <v>18</v>
      </c>
      <c r="C37" s="7">
        <v>15.0</v>
      </c>
      <c r="D37" s="7">
        <v>791.0</v>
      </c>
      <c r="E37" s="7">
        <v>691.0</v>
      </c>
    </row>
    <row r="38" ht="14.25" customHeight="1">
      <c r="A38" s="20">
        <v>43951.0</v>
      </c>
      <c r="B38" s="7" t="s">
        <v>19</v>
      </c>
      <c r="C38" s="7">
        <v>15.0</v>
      </c>
      <c r="D38" s="7">
        <v>262.0</v>
      </c>
      <c r="E38" s="7">
        <v>195.0</v>
      </c>
    </row>
    <row r="39" ht="14.25" customHeight="1">
      <c r="A39" s="20">
        <v>43951.0</v>
      </c>
      <c r="B39" s="7" t="s">
        <v>15</v>
      </c>
      <c r="C39" s="7">
        <v>125.0</v>
      </c>
      <c r="D39" s="7">
        <v>22368.0</v>
      </c>
      <c r="E39" s="7">
        <v>20625.0</v>
      </c>
    </row>
    <row r="40" ht="14.25" customHeight="1">
      <c r="A40" s="20">
        <v>43951.0</v>
      </c>
      <c r="B40" s="7" t="s">
        <v>14</v>
      </c>
      <c r="C40" s="7">
        <v>129.0</v>
      </c>
      <c r="D40" s="7">
        <v>18042.0</v>
      </c>
      <c r="E40" s="7">
        <v>16631.0</v>
      </c>
    </row>
    <row r="41" ht="14.25" customHeight="1">
      <c r="A41" s="20">
        <v>43951.0</v>
      </c>
      <c r="B41" s="7" t="s">
        <v>12</v>
      </c>
      <c r="C41" s="7">
        <v>10.0</v>
      </c>
      <c r="D41" s="7">
        <v>448.0</v>
      </c>
      <c r="E41" s="7">
        <v>376.0</v>
      </c>
    </row>
    <row r="42" ht="14.25" customHeight="1">
      <c r="A42" s="20">
        <v>43952.0</v>
      </c>
      <c r="B42" s="7" t="s">
        <v>16</v>
      </c>
      <c r="C42" s="7">
        <v>36.0</v>
      </c>
      <c r="D42" s="7">
        <v>5457.0</v>
      </c>
      <c r="E42" s="7">
        <v>4916.0</v>
      </c>
    </row>
    <row r="43" ht="14.25" customHeight="1">
      <c r="A43" s="20">
        <v>43952.0</v>
      </c>
      <c r="B43" s="7" t="s">
        <v>11</v>
      </c>
      <c r="C43" s="7">
        <v>31.0</v>
      </c>
      <c r="D43" s="7">
        <v>6118.0</v>
      </c>
      <c r="E43" s="7">
        <v>5564.0</v>
      </c>
    </row>
    <row r="44" ht="14.25" customHeight="1">
      <c r="A44" s="20">
        <v>43952.0</v>
      </c>
      <c r="B44" s="7" t="s">
        <v>17</v>
      </c>
      <c r="C44" s="7">
        <v>20.0</v>
      </c>
      <c r="D44" s="7">
        <v>2468.0</v>
      </c>
      <c r="E44" s="7">
        <v>2221.0</v>
      </c>
    </row>
    <row r="45" ht="14.25" customHeight="1">
      <c r="A45" s="20">
        <v>43952.0</v>
      </c>
      <c r="B45" s="7" t="s">
        <v>10</v>
      </c>
      <c r="C45" s="7">
        <v>18.0</v>
      </c>
      <c r="D45" s="7">
        <v>1826.0</v>
      </c>
      <c r="E45" s="7">
        <v>1633.0</v>
      </c>
    </row>
    <row r="46" ht="14.25" customHeight="1">
      <c r="A46" s="20">
        <v>43952.0</v>
      </c>
      <c r="B46" s="7" t="s">
        <v>20</v>
      </c>
      <c r="C46" s="7">
        <v>19.0</v>
      </c>
      <c r="D46" s="7">
        <v>1987.0</v>
      </c>
      <c r="E46" s="7">
        <v>1791.0</v>
      </c>
    </row>
    <row r="47" ht="14.25" customHeight="1">
      <c r="A47" s="20">
        <v>43952.0</v>
      </c>
      <c r="B47" s="7" t="s">
        <v>22</v>
      </c>
      <c r="C47" s="7">
        <v>54.0</v>
      </c>
      <c r="D47" s="7">
        <v>14205.0</v>
      </c>
      <c r="E47" s="7">
        <v>13026.0</v>
      </c>
    </row>
    <row r="48" ht="14.25" customHeight="1">
      <c r="A48" s="20">
        <v>43952.0</v>
      </c>
      <c r="B48" s="7" t="s">
        <v>21</v>
      </c>
      <c r="C48" s="7">
        <v>59.0</v>
      </c>
      <c r="D48" s="7">
        <v>15222.0</v>
      </c>
      <c r="E48" s="7">
        <v>13873.0</v>
      </c>
    </row>
    <row r="49" ht="14.25" customHeight="1">
      <c r="A49" s="20">
        <v>43952.0</v>
      </c>
      <c r="B49" s="7" t="s">
        <v>13</v>
      </c>
      <c r="C49" s="7">
        <v>19.0</v>
      </c>
      <c r="D49" s="7">
        <v>1497.0</v>
      </c>
      <c r="E49" s="7">
        <v>1291.0</v>
      </c>
    </row>
    <row r="50" ht="14.25" customHeight="1">
      <c r="A50" s="20">
        <v>43952.0</v>
      </c>
      <c r="B50" s="7" t="s">
        <v>23</v>
      </c>
      <c r="C50" s="7">
        <v>15.0</v>
      </c>
      <c r="D50" s="7">
        <v>721.0</v>
      </c>
      <c r="E50" s="7">
        <v>625.0</v>
      </c>
    </row>
    <row r="51" ht="14.25" customHeight="1">
      <c r="A51" s="20">
        <v>43952.0</v>
      </c>
      <c r="B51" s="7" t="s">
        <v>18</v>
      </c>
      <c r="C51" s="7">
        <v>15.0</v>
      </c>
      <c r="D51" s="7">
        <v>996.0</v>
      </c>
      <c r="E51" s="7">
        <v>888.0</v>
      </c>
    </row>
    <row r="52" ht="14.25" customHeight="1">
      <c r="A52" s="20">
        <v>43952.0</v>
      </c>
      <c r="B52" s="7" t="s">
        <v>19</v>
      </c>
      <c r="C52" s="7">
        <v>15.0</v>
      </c>
      <c r="D52" s="7">
        <v>294.0</v>
      </c>
      <c r="E52" s="7">
        <v>225.0</v>
      </c>
    </row>
    <row r="53" ht="14.25" customHeight="1">
      <c r="A53" s="20">
        <v>43952.0</v>
      </c>
      <c r="B53" s="7" t="s">
        <v>15</v>
      </c>
      <c r="C53" s="7">
        <v>125.0</v>
      </c>
      <c r="D53" s="7">
        <v>20602.0</v>
      </c>
      <c r="E53" s="7">
        <v>18845.0</v>
      </c>
    </row>
    <row r="54" ht="14.25" customHeight="1">
      <c r="A54" s="20">
        <v>43952.0</v>
      </c>
      <c r="B54" s="7" t="s">
        <v>14</v>
      </c>
      <c r="C54" s="7">
        <v>129.0</v>
      </c>
      <c r="D54" s="7">
        <v>17002.0</v>
      </c>
      <c r="E54" s="7">
        <v>15570.0</v>
      </c>
    </row>
    <row r="55" ht="14.25" customHeight="1">
      <c r="A55" s="20">
        <v>43952.0</v>
      </c>
      <c r="B55" s="7" t="s">
        <v>12</v>
      </c>
      <c r="C55" s="7">
        <v>10.0</v>
      </c>
      <c r="D55" s="7">
        <v>554.0</v>
      </c>
      <c r="E55" s="7">
        <v>472.0</v>
      </c>
    </row>
    <row r="56" ht="14.25" customHeight="1">
      <c r="A56" s="20">
        <v>43953.0</v>
      </c>
      <c r="B56" s="7" t="s">
        <v>16</v>
      </c>
      <c r="C56" s="7">
        <v>36.0</v>
      </c>
      <c r="D56" s="7">
        <v>3442.0</v>
      </c>
      <c r="E56" s="7">
        <v>3147.0</v>
      </c>
    </row>
    <row r="57" ht="14.25" customHeight="1">
      <c r="A57" s="20">
        <v>43953.0</v>
      </c>
      <c r="B57" s="7" t="s">
        <v>11</v>
      </c>
      <c r="C57" s="7">
        <v>31.0</v>
      </c>
      <c r="D57" s="7">
        <v>4157.0</v>
      </c>
      <c r="E57" s="7">
        <v>3823.0</v>
      </c>
    </row>
    <row r="58" ht="14.25" customHeight="1">
      <c r="A58" s="20">
        <v>43953.0</v>
      </c>
      <c r="B58" s="7" t="s">
        <v>17</v>
      </c>
      <c r="C58" s="7">
        <v>20.0</v>
      </c>
      <c r="D58" s="7">
        <v>1613.0</v>
      </c>
      <c r="E58" s="7">
        <v>1457.0</v>
      </c>
    </row>
    <row r="59" ht="14.25" customHeight="1">
      <c r="A59" s="20">
        <v>43953.0</v>
      </c>
      <c r="B59" s="7" t="s">
        <v>10</v>
      </c>
      <c r="C59" s="7">
        <v>18.0</v>
      </c>
      <c r="D59" s="7">
        <v>1708.0</v>
      </c>
      <c r="E59" s="7">
        <v>1534.0</v>
      </c>
    </row>
    <row r="60" ht="14.25" customHeight="1">
      <c r="A60" s="20">
        <v>43953.0</v>
      </c>
      <c r="B60" s="7" t="s">
        <v>20</v>
      </c>
      <c r="C60" s="7">
        <v>19.0</v>
      </c>
      <c r="D60" s="7">
        <v>1206.0</v>
      </c>
      <c r="E60" s="7">
        <v>1080.0</v>
      </c>
    </row>
    <row r="61" ht="14.25" customHeight="1">
      <c r="A61" s="20">
        <v>43953.0</v>
      </c>
      <c r="B61" s="7" t="s">
        <v>22</v>
      </c>
      <c r="C61" s="7">
        <v>54.0</v>
      </c>
      <c r="D61" s="7">
        <v>11622.0</v>
      </c>
      <c r="E61" s="7">
        <v>10754.0</v>
      </c>
    </row>
    <row r="62" ht="14.25" customHeight="1">
      <c r="A62" s="20">
        <v>43953.0</v>
      </c>
      <c r="B62" s="7" t="s">
        <v>21</v>
      </c>
      <c r="C62" s="7">
        <v>59.0</v>
      </c>
      <c r="D62" s="7">
        <v>12429.0</v>
      </c>
      <c r="E62" s="7">
        <v>11477.0</v>
      </c>
    </row>
    <row r="63" ht="14.25" customHeight="1">
      <c r="A63" s="20">
        <v>43953.0</v>
      </c>
      <c r="B63" s="7" t="s">
        <v>13</v>
      </c>
      <c r="C63" s="7">
        <v>19.0</v>
      </c>
      <c r="D63" s="7">
        <v>1217.0</v>
      </c>
      <c r="E63" s="7">
        <v>1048.0</v>
      </c>
    </row>
    <row r="64" ht="14.25" customHeight="1">
      <c r="A64" s="20">
        <v>43953.0</v>
      </c>
      <c r="B64" s="7" t="s">
        <v>23</v>
      </c>
      <c r="C64" s="7">
        <v>15.0</v>
      </c>
      <c r="D64" s="7">
        <v>567.0</v>
      </c>
      <c r="E64" s="7">
        <v>493.0</v>
      </c>
    </row>
    <row r="65" ht="14.25" customHeight="1">
      <c r="A65" s="20">
        <v>43953.0</v>
      </c>
      <c r="B65" s="7" t="s">
        <v>18</v>
      </c>
      <c r="C65" s="7">
        <v>15.0</v>
      </c>
      <c r="D65" s="7">
        <v>751.0</v>
      </c>
      <c r="E65" s="7">
        <v>651.0</v>
      </c>
    </row>
    <row r="66" ht="14.25" customHeight="1">
      <c r="A66" s="20">
        <v>43953.0</v>
      </c>
      <c r="B66" s="7" t="s">
        <v>19</v>
      </c>
      <c r="C66" s="7">
        <v>15.0</v>
      </c>
      <c r="D66" s="7">
        <v>274.0</v>
      </c>
      <c r="E66" s="7">
        <v>203.0</v>
      </c>
    </row>
    <row r="67" ht="14.25" customHeight="1">
      <c r="A67" s="20">
        <v>43953.0</v>
      </c>
      <c r="B67" s="7" t="s">
        <v>15</v>
      </c>
      <c r="C67" s="7">
        <v>125.0</v>
      </c>
      <c r="D67" s="7">
        <v>16932.0</v>
      </c>
      <c r="E67" s="7">
        <v>15601.0</v>
      </c>
    </row>
    <row r="68" ht="14.25" customHeight="1">
      <c r="A68" s="20">
        <v>43953.0</v>
      </c>
      <c r="B68" s="7" t="s">
        <v>14</v>
      </c>
      <c r="C68" s="7">
        <v>129.0</v>
      </c>
      <c r="D68" s="7">
        <v>14009.0</v>
      </c>
      <c r="E68" s="7">
        <v>12920.0</v>
      </c>
    </row>
    <row r="69" ht="14.25" customHeight="1">
      <c r="A69" s="20">
        <v>43953.0</v>
      </c>
      <c r="B69" s="7" t="s">
        <v>12</v>
      </c>
      <c r="C69" s="7">
        <v>10.0</v>
      </c>
      <c r="D69" s="7">
        <v>416.0</v>
      </c>
      <c r="E69" s="7">
        <v>341.0</v>
      </c>
    </row>
    <row r="70" ht="14.25" customHeight="1">
      <c r="A70" s="20">
        <v>43954.0</v>
      </c>
      <c r="B70" s="7" t="s">
        <v>16</v>
      </c>
      <c r="C70" s="7">
        <v>36.0</v>
      </c>
      <c r="D70" s="7">
        <v>4751.0</v>
      </c>
      <c r="E70" s="7">
        <v>4370.0</v>
      </c>
    </row>
    <row r="71" ht="14.25" customHeight="1">
      <c r="A71" s="20">
        <v>43954.0</v>
      </c>
      <c r="B71" s="7" t="s">
        <v>11</v>
      </c>
      <c r="C71" s="7">
        <v>31.0</v>
      </c>
      <c r="D71" s="7">
        <v>5155.0</v>
      </c>
      <c r="E71" s="7">
        <v>4762.0</v>
      </c>
    </row>
    <row r="72" ht="14.25" customHeight="1">
      <c r="A72" s="20">
        <v>43954.0</v>
      </c>
      <c r="B72" s="7" t="s">
        <v>17</v>
      </c>
      <c r="C72" s="7">
        <v>20.0</v>
      </c>
      <c r="D72" s="7">
        <v>1716.0</v>
      </c>
      <c r="E72" s="7">
        <v>1561.0</v>
      </c>
    </row>
    <row r="73" ht="14.25" customHeight="1">
      <c r="A73" s="20">
        <v>43954.0</v>
      </c>
      <c r="B73" s="7" t="s">
        <v>10</v>
      </c>
      <c r="C73" s="7">
        <v>20.0</v>
      </c>
      <c r="D73" s="7">
        <v>1520.0</v>
      </c>
      <c r="E73" s="7">
        <v>1373.0</v>
      </c>
    </row>
    <row r="74" ht="14.25" customHeight="1">
      <c r="A74" s="20">
        <v>43954.0</v>
      </c>
      <c r="B74" s="7" t="s">
        <v>20</v>
      </c>
      <c r="C74" s="7">
        <v>19.0</v>
      </c>
      <c r="D74" s="7">
        <v>1314.0</v>
      </c>
      <c r="E74" s="7">
        <v>1192.0</v>
      </c>
    </row>
    <row r="75" ht="14.25" customHeight="1">
      <c r="A75" s="20">
        <v>43954.0</v>
      </c>
      <c r="B75" s="7" t="s">
        <v>22</v>
      </c>
      <c r="C75" s="7">
        <v>54.0</v>
      </c>
      <c r="D75" s="7">
        <v>14823.0</v>
      </c>
      <c r="E75" s="7">
        <v>13751.0</v>
      </c>
    </row>
    <row r="76" ht="14.25" customHeight="1">
      <c r="A76" s="20">
        <v>43954.0</v>
      </c>
      <c r="B76" s="7" t="s">
        <v>21</v>
      </c>
      <c r="C76" s="7">
        <v>59.0</v>
      </c>
      <c r="D76" s="7">
        <v>15277.0</v>
      </c>
      <c r="E76" s="7">
        <v>14163.0</v>
      </c>
    </row>
    <row r="77" ht="14.25" customHeight="1">
      <c r="A77" s="20">
        <v>43954.0</v>
      </c>
      <c r="B77" s="7" t="s">
        <v>13</v>
      </c>
      <c r="C77" s="7">
        <v>19.0</v>
      </c>
      <c r="D77" s="7">
        <v>1402.0</v>
      </c>
      <c r="E77" s="7">
        <v>1234.0</v>
      </c>
    </row>
    <row r="78" ht="14.25" customHeight="1">
      <c r="A78" s="20">
        <v>43954.0</v>
      </c>
      <c r="B78" s="7" t="s">
        <v>23</v>
      </c>
      <c r="C78" s="7">
        <v>15.0</v>
      </c>
      <c r="D78" s="7">
        <v>585.0</v>
      </c>
      <c r="E78" s="7">
        <v>502.0</v>
      </c>
    </row>
    <row r="79" ht="14.25" customHeight="1">
      <c r="A79" s="20">
        <v>43954.0</v>
      </c>
      <c r="B79" s="7" t="s">
        <v>18</v>
      </c>
      <c r="C79" s="7">
        <v>15.0</v>
      </c>
      <c r="D79" s="7">
        <v>784.0</v>
      </c>
      <c r="E79" s="7">
        <v>696.0</v>
      </c>
    </row>
    <row r="80" ht="14.25" customHeight="1">
      <c r="A80" s="20">
        <v>43954.0</v>
      </c>
      <c r="B80" s="7" t="s">
        <v>19</v>
      </c>
      <c r="C80" s="7">
        <v>15.0</v>
      </c>
      <c r="D80" s="7">
        <v>455.0</v>
      </c>
      <c r="E80" s="7">
        <v>384.0</v>
      </c>
    </row>
    <row r="81" ht="14.25" customHeight="1">
      <c r="A81" s="20">
        <v>43954.0</v>
      </c>
      <c r="B81" s="7" t="s">
        <v>15</v>
      </c>
      <c r="C81" s="7">
        <v>125.0</v>
      </c>
      <c r="D81" s="7">
        <v>18861.0</v>
      </c>
      <c r="E81" s="7">
        <v>17420.0</v>
      </c>
    </row>
    <row r="82" ht="14.25" customHeight="1">
      <c r="A82" s="20">
        <v>43954.0</v>
      </c>
      <c r="B82" s="7" t="s">
        <v>14</v>
      </c>
      <c r="C82" s="7">
        <v>129.0</v>
      </c>
      <c r="D82" s="7">
        <v>15778.0</v>
      </c>
      <c r="E82" s="7">
        <v>14624.0</v>
      </c>
    </row>
    <row r="83" ht="14.25" customHeight="1">
      <c r="A83" s="20">
        <v>43954.0</v>
      </c>
      <c r="B83" s="7" t="s">
        <v>12</v>
      </c>
      <c r="C83" s="7">
        <v>10.0</v>
      </c>
      <c r="D83" s="7">
        <v>402.0</v>
      </c>
      <c r="E83" s="7">
        <v>333.0</v>
      </c>
    </row>
    <row r="84" ht="14.25" customHeight="1">
      <c r="A84" s="20">
        <v>43955.0</v>
      </c>
      <c r="B84" s="7" t="s">
        <v>16</v>
      </c>
      <c r="C84" s="7">
        <v>36.0</v>
      </c>
      <c r="D84" s="7">
        <v>4508.0</v>
      </c>
      <c r="E84" s="7">
        <v>4149.0</v>
      </c>
    </row>
    <row r="85" ht="14.25" customHeight="1">
      <c r="A85" s="20">
        <v>43955.0</v>
      </c>
      <c r="B85" s="7" t="s">
        <v>11</v>
      </c>
      <c r="C85" s="7">
        <v>31.0</v>
      </c>
      <c r="D85" s="7">
        <v>4968.0</v>
      </c>
      <c r="E85" s="7">
        <v>4596.0</v>
      </c>
    </row>
    <row r="86" ht="14.25" customHeight="1">
      <c r="A86" s="20">
        <v>43955.0</v>
      </c>
      <c r="B86" s="7" t="s">
        <v>17</v>
      </c>
      <c r="C86" s="7">
        <v>20.0</v>
      </c>
      <c r="D86" s="7">
        <v>1804.0</v>
      </c>
      <c r="E86" s="7">
        <v>1638.0</v>
      </c>
    </row>
    <row r="87" ht="14.25" customHeight="1">
      <c r="A87" s="20">
        <v>43955.0</v>
      </c>
      <c r="B87" s="7" t="s">
        <v>10</v>
      </c>
      <c r="C87" s="7">
        <v>20.0</v>
      </c>
      <c r="D87" s="7">
        <v>1519.0</v>
      </c>
      <c r="E87" s="7">
        <v>1372.0</v>
      </c>
    </row>
    <row r="88" ht="14.25" customHeight="1">
      <c r="A88" s="20">
        <v>43955.0</v>
      </c>
      <c r="B88" s="7" t="s">
        <v>20</v>
      </c>
      <c r="C88" s="7">
        <v>19.0</v>
      </c>
      <c r="D88" s="7">
        <v>1479.0</v>
      </c>
      <c r="E88" s="7">
        <v>1346.0</v>
      </c>
    </row>
    <row r="89" ht="14.25" customHeight="1">
      <c r="A89" s="20">
        <v>43955.0</v>
      </c>
      <c r="B89" s="7" t="s">
        <v>22</v>
      </c>
      <c r="C89" s="7">
        <v>54.0</v>
      </c>
      <c r="D89" s="7">
        <v>13606.0</v>
      </c>
      <c r="E89" s="7">
        <v>12697.0</v>
      </c>
    </row>
    <row r="90" ht="14.25" customHeight="1">
      <c r="A90" s="20">
        <v>43955.0</v>
      </c>
      <c r="B90" s="7" t="s">
        <v>21</v>
      </c>
      <c r="C90" s="7">
        <v>59.0</v>
      </c>
      <c r="D90" s="7">
        <v>14423.0</v>
      </c>
      <c r="E90" s="7">
        <v>13432.0</v>
      </c>
    </row>
    <row r="91" ht="14.25" customHeight="1">
      <c r="A91" s="20">
        <v>43955.0</v>
      </c>
      <c r="B91" s="7" t="s">
        <v>13</v>
      </c>
      <c r="C91" s="7">
        <v>19.0</v>
      </c>
      <c r="D91" s="7">
        <v>1582.0</v>
      </c>
      <c r="E91" s="7">
        <v>1403.0</v>
      </c>
    </row>
    <row r="92" ht="14.25" customHeight="1">
      <c r="A92" s="20">
        <v>43955.0</v>
      </c>
      <c r="B92" s="7" t="s">
        <v>23</v>
      </c>
      <c r="C92" s="7">
        <v>15.0</v>
      </c>
      <c r="D92" s="7">
        <v>622.0</v>
      </c>
      <c r="E92" s="7">
        <v>538.0</v>
      </c>
    </row>
    <row r="93" ht="14.25" customHeight="1">
      <c r="A93" s="20">
        <v>43955.0</v>
      </c>
      <c r="B93" s="7" t="s">
        <v>18</v>
      </c>
      <c r="C93" s="7">
        <v>15.0</v>
      </c>
      <c r="D93" s="7">
        <v>750.0</v>
      </c>
      <c r="E93" s="7">
        <v>647.0</v>
      </c>
    </row>
    <row r="94" ht="14.25" customHeight="1">
      <c r="A94" s="20">
        <v>43955.0</v>
      </c>
      <c r="B94" s="7" t="s">
        <v>19</v>
      </c>
      <c r="C94" s="7">
        <v>15.0</v>
      </c>
      <c r="D94" s="7">
        <v>390.0</v>
      </c>
      <c r="E94" s="7">
        <v>315.0</v>
      </c>
    </row>
    <row r="95" ht="14.25" customHeight="1">
      <c r="A95" s="20">
        <v>43955.0</v>
      </c>
      <c r="B95" s="7" t="s">
        <v>15</v>
      </c>
      <c r="C95" s="7">
        <v>125.0</v>
      </c>
      <c r="D95" s="7">
        <v>20495.0</v>
      </c>
      <c r="E95" s="7">
        <v>18964.0</v>
      </c>
    </row>
    <row r="96" ht="14.25" customHeight="1">
      <c r="A96" s="20">
        <v>43955.0</v>
      </c>
      <c r="B96" s="7" t="s">
        <v>14</v>
      </c>
      <c r="C96" s="7">
        <v>129.0</v>
      </c>
      <c r="D96" s="7">
        <v>16525.0</v>
      </c>
      <c r="E96" s="7">
        <v>15310.0</v>
      </c>
    </row>
    <row r="97" ht="14.25" customHeight="1">
      <c r="A97" s="20">
        <v>43955.0</v>
      </c>
      <c r="B97" s="7" t="s">
        <v>12</v>
      </c>
      <c r="C97" s="7">
        <v>10.0</v>
      </c>
      <c r="D97" s="7">
        <v>462.0</v>
      </c>
      <c r="E97" s="7">
        <v>396.0</v>
      </c>
    </row>
    <row r="98" ht="14.25" customHeight="1">
      <c r="A98" s="20">
        <v>43956.0</v>
      </c>
      <c r="B98" s="7" t="s">
        <v>16</v>
      </c>
      <c r="C98" s="7">
        <v>36.0</v>
      </c>
      <c r="D98" s="7">
        <v>4575.0</v>
      </c>
      <c r="E98" s="7">
        <v>4206.0</v>
      </c>
    </row>
    <row r="99" ht="14.25" customHeight="1">
      <c r="A99" s="20">
        <v>43956.0</v>
      </c>
      <c r="B99" s="7" t="s">
        <v>11</v>
      </c>
      <c r="C99" s="7">
        <v>31.0</v>
      </c>
      <c r="D99" s="7">
        <v>5188.0</v>
      </c>
      <c r="E99" s="7">
        <v>4800.0</v>
      </c>
    </row>
    <row r="100" ht="14.25" customHeight="1">
      <c r="A100" s="20">
        <v>43956.0</v>
      </c>
      <c r="B100" s="7" t="s">
        <v>17</v>
      </c>
      <c r="C100" s="7">
        <v>20.0</v>
      </c>
      <c r="D100" s="7">
        <v>1757.0</v>
      </c>
      <c r="E100" s="7">
        <v>1596.0</v>
      </c>
    </row>
    <row r="101" ht="14.25" customHeight="1">
      <c r="A101" s="20">
        <v>43956.0</v>
      </c>
      <c r="B101" s="7" t="s">
        <v>10</v>
      </c>
      <c r="C101" s="7">
        <v>20.0</v>
      </c>
      <c r="D101" s="7">
        <v>1773.0</v>
      </c>
      <c r="E101" s="7">
        <v>1604.0</v>
      </c>
    </row>
    <row r="102" ht="14.25" customHeight="1">
      <c r="A102" s="20">
        <v>43956.0</v>
      </c>
      <c r="B102" s="7" t="s">
        <v>20</v>
      </c>
      <c r="C102" s="7">
        <v>19.0</v>
      </c>
      <c r="D102" s="7">
        <v>1622.0</v>
      </c>
      <c r="E102" s="7">
        <v>1482.0</v>
      </c>
    </row>
    <row r="103" ht="14.25" customHeight="1">
      <c r="A103" s="20">
        <v>43956.0</v>
      </c>
      <c r="B103" s="7" t="s">
        <v>22</v>
      </c>
      <c r="C103" s="7">
        <v>54.0</v>
      </c>
      <c r="D103" s="7">
        <v>12775.0</v>
      </c>
      <c r="E103" s="7">
        <v>11887.0</v>
      </c>
    </row>
    <row r="104" ht="14.25" customHeight="1">
      <c r="A104" s="20">
        <v>43956.0</v>
      </c>
      <c r="B104" s="7" t="s">
        <v>21</v>
      </c>
      <c r="C104" s="7">
        <v>59.0</v>
      </c>
      <c r="D104" s="7">
        <v>13469.0</v>
      </c>
      <c r="E104" s="7">
        <v>12486.0</v>
      </c>
    </row>
    <row r="105" ht="14.25" customHeight="1">
      <c r="A105" s="20">
        <v>43956.0</v>
      </c>
      <c r="B105" s="7" t="s">
        <v>13</v>
      </c>
      <c r="C105" s="7">
        <v>19.0</v>
      </c>
      <c r="D105" s="7">
        <v>1417.0</v>
      </c>
      <c r="E105" s="7">
        <v>1245.0</v>
      </c>
    </row>
    <row r="106" ht="14.25" customHeight="1">
      <c r="A106" s="20">
        <v>43956.0</v>
      </c>
      <c r="B106" s="7" t="s">
        <v>23</v>
      </c>
      <c r="C106" s="7">
        <v>15.0</v>
      </c>
      <c r="D106" s="7">
        <v>750.0</v>
      </c>
      <c r="E106" s="7">
        <v>658.0</v>
      </c>
    </row>
    <row r="107" ht="14.25" customHeight="1">
      <c r="A107" s="20">
        <v>43956.0</v>
      </c>
      <c r="B107" s="7" t="s">
        <v>18</v>
      </c>
      <c r="C107" s="7">
        <v>15.0</v>
      </c>
      <c r="D107" s="7">
        <v>922.0</v>
      </c>
      <c r="E107" s="7">
        <v>823.0</v>
      </c>
    </row>
    <row r="108" ht="14.25" customHeight="1">
      <c r="A108" s="20">
        <v>43956.0</v>
      </c>
      <c r="B108" s="7" t="s">
        <v>19</v>
      </c>
      <c r="C108" s="7">
        <v>15.0</v>
      </c>
      <c r="D108" s="7">
        <v>455.0</v>
      </c>
      <c r="E108" s="7">
        <v>381.0</v>
      </c>
    </row>
    <row r="109" ht="14.25" customHeight="1">
      <c r="A109" s="20">
        <v>43956.0</v>
      </c>
      <c r="B109" s="7" t="s">
        <v>15</v>
      </c>
      <c r="C109" s="7">
        <v>125.0</v>
      </c>
      <c r="D109" s="7">
        <v>18944.0</v>
      </c>
      <c r="E109" s="7">
        <v>17541.0</v>
      </c>
    </row>
    <row r="110" ht="14.25" customHeight="1">
      <c r="A110" s="20">
        <v>43956.0</v>
      </c>
      <c r="B110" s="7" t="s">
        <v>14</v>
      </c>
      <c r="C110" s="7">
        <v>129.0</v>
      </c>
      <c r="D110" s="7">
        <v>15665.0</v>
      </c>
      <c r="E110" s="7">
        <v>14501.0</v>
      </c>
    </row>
    <row r="111" ht="14.25" customHeight="1">
      <c r="A111" s="20">
        <v>43956.0</v>
      </c>
      <c r="B111" s="7" t="s">
        <v>12</v>
      </c>
      <c r="C111" s="7">
        <v>10.0</v>
      </c>
      <c r="D111" s="7">
        <v>511.0</v>
      </c>
      <c r="E111" s="7">
        <v>437.0</v>
      </c>
    </row>
    <row r="112" ht="14.25" customHeight="1">
      <c r="A112" s="20">
        <v>43957.0</v>
      </c>
      <c r="B112" s="7" t="s">
        <v>16</v>
      </c>
      <c r="C112" s="7">
        <v>36.0</v>
      </c>
      <c r="D112" s="7">
        <v>4384.0</v>
      </c>
      <c r="E112" s="7">
        <v>4025.0</v>
      </c>
    </row>
    <row r="113" ht="14.25" customHeight="1">
      <c r="A113" s="20">
        <v>43957.0</v>
      </c>
      <c r="B113" s="7" t="s">
        <v>11</v>
      </c>
      <c r="C113" s="7">
        <v>31.0</v>
      </c>
      <c r="D113" s="7">
        <v>4709.0</v>
      </c>
      <c r="E113" s="7">
        <v>4348.0</v>
      </c>
    </row>
    <row r="114" ht="14.25" customHeight="1">
      <c r="A114" s="20">
        <v>43957.0</v>
      </c>
      <c r="B114" s="7" t="s">
        <v>17</v>
      </c>
      <c r="C114" s="7">
        <v>20.0</v>
      </c>
      <c r="D114" s="7">
        <v>1747.0</v>
      </c>
      <c r="E114" s="7">
        <v>1570.0</v>
      </c>
    </row>
    <row r="115" ht="14.25" customHeight="1">
      <c r="A115" s="20">
        <v>43957.0</v>
      </c>
      <c r="B115" s="7" t="s">
        <v>10</v>
      </c>
      <c r="C115" s="7">
        <v>20.0</v>
      </c>
      <c r="D115" s="7">
        <v>1784.0</v>
      </c>
      <c r="E115" s="7">
        <v>1632.0</v>
      </c>
    </row>
    <row r="116" ht="14.25" customHeight="1">
      <c r="A116" s="20">
        <v>43957.0</v>
      </c>
      <c r="B116" s="7" t="s">
        <v>20</v>
      </c>
      <c r="C116" s="7">
        <v>19.0</v>
      </c>
      <c r="D116" s="7">
        <v>1509.0</v>
      </c>
      <c r="E116" s="7">
        <v>1374.0</v>
      </c>
    </row>
    <row r="117" ht="14.25" customHeight="1">
      <c r="A117" s="20">
        <v>43957.0</v>
      </c>
      <c r="B117" s="7" t="s">
        <v>22</v>
      </c>
      <c r="C117" s="7">
        <v>54.0</v>
      </c>
      <c r="D117" s="7">
        <v>13406.0</v>
      </c>
      <c r="E117" s="7">
        <v>12518.0</v>
      </c>
    </row>
    <row r="118" ht="14.25" customHeight="1">
      <c r="A118" s="20">
        <v>43957.0</v>
      </c>
      <c r="B118" s="7" t="s">
        <v>21</v>
      </c>
      <c r="C118" s="7">
        <v>59.0</v>
      </c>
      <c r="D118" s="7">
        <v>14103.0</v>
      </c>
      <c r="E118" s="7">
        <v>13118.0</v>
      </c>
    </row>
    <row r="119" ht="14.25" customHeight="1">
      <c r="A119" s="20">
        <v>43957.0</v>
      </c>
      <c r="B119" s="7" t="s">
        <v>13</v>
      </c>
      <c r="C119" s="7">
        <v>19.0</v>
      </c>
      <c r="D119" s="7">
        <v>1499.0</v>
      </c>
      <c r="E119" s="7">
        <v>1323.0</v>
      </c>
    </row>
    <row r="120" ht="14.25" customHeight="1">
      <c r="A120" s="20">
        <v>43957.0</v>
      </c>
      <c r="B120" s="7" t="s">
        <v>23</v>
      </c>
      <c r="C120" s="7">
        <v>15.0</v>
      </c>
      <c r="D120" s="7">
        <v>701.0</v>
      </c>
      <c r="E120" s="7">
        <v>611.0</v>
      </c>
    </row>
    <row r="121" ht="14.25" customHeight="1">
      <c r="A121" s="20">
        <v>43957.0</v>
      </c>
      <c r="B121" s="7" t="s">
        <v>18</v>
      </c>
      <c r="C121" s="7">
        <v>15.0</v>
      </c>
      <c r="D121" s="7">
        <v>839.0</v>
      </c>
      <c r="E121" s="7">
        <v>733.0</v>
      </c>
    </row>
    <row r="122" ht="14.25" customHeight="1">
      <c r="A122" s="20">
        <v>43957.0</v>
      </c>
      <c r="B122" s="7" t="s">
        <v>19</v>
      </c>
      <c r="C122" s="7">
        <v>15.0</v>
      </c>
      <c r="D122" s="7">
        <v>467.0</v>
      </c>
      <c r="E122" s="7">
        <v>389.0</v>
      </c>
    </row>
    <row r="123" ht="14.25" customHeight="1">
      <c r="A123" s="20">
        <v>43957.0</v>
      </c>
      <c r="B123" s="7" t="s">
        <v>15</v>
      </c>
      <c r="C123" s="7">
        <v>125.0</v>
      </c>
      <c r="D123" s="7">
        <v>20218.0</v>
      </c>
      <c r="E123" s="7">
        <v>18647.0</v>
      </c>
    </row>
    <row r="124" ht="14.25" customHeight="1">
      <c r="A124" s="20">
        <v>43957.0</v>
      </c>
      <c r="B124" s="7" t="s">
        <v>14</v>
      </c>
      <c r="C124" s="7">
        <v>129.0</v>
      </c>
      <c r="D124" s="7">
        <v>16376.0</v>
      </c>
      <c r="E124" s="7">
        <v>15197.0</v>
      </c>
    </row>
    <row r="125" ht="14.25" customHeight="1">
      <c r="A125" s="20">
        <v>43957.0</v>
      </c>
      <c r="B125" s="7" t="s">
        <v>12</v>
      </c>
      <c r="C125" s="7">
        <v>10.0</v>
      </c>
      <c r="D125" s="7">
        <v>465.0</v>
      </c>
      <c r="E125" s="7">
        <v>390.0</v>
      </c>
    </row>
    <row r="126" ht="14.25" customHeight="1">
      <c r="A126" s="20">
        <v>43958.0</v>
      </c>
      <c r="B126" s="7" t="s">
        <v>16</v>
      </c>
      <c r="C126" s="7">
        <v>36.0</v>
      </c>
      <c r="D126" s="7">
        <v>4826.0</v>
      </c>
      <c r="E126" s="7">
        <v>4426.0</v>
      </c>
    </row>
    <row r="127" ht="14.25" customHeight="1">
      <c r="A127" s="20">
        <v>43958.0</v>
      </c>
      <c r="B127" s="7" t="s">
        <v>11</v>
      </c>
      <c r="C127" s="7">
        <v>31.0</v>
      </c>
      <c r="D127" s="7">
        <v>4903.0</v>
      </c>
      <c r="E127" s="7">
        <v>4527.0</v>
      </c>
    </row>
    <row r="128" ht="14.25" customHeight="1">
      <c r="A128" s="20">
        <v>43958.0</v>
      </c>
      <c r="B128" s="7" t="s">
        <v>17</v>
      </c>
      <c r="C128" s="7">
        <v>21.0</v>
      </c>
      <c r="D128" s="7">
        <v>1879.0</v>
      </c>
      <c r="E128" s="7">
        <v>1695.0</v>
      </c>
    </row>
    <row r="129" ht="14.25" customHeight="1">
      <c r="A129" s="20">
        <v>43958.0</v>
      </c>
      <c r="B129" s="7" t="s">
        <v>10</v>
      </c>
      <c r="C129" s="7">
        <v>21.0</v>
      </c>
      <c r="D129" s="7">
        <v>1542.0</v>
      </c>
      <c r="E129" s="7">
        <v>1405.0</v>
      </c>
    </row>
    <row r="130" ht="14.25" customHeight="1">
      <c r="A130" s="20">
        <v>43958.0</v>
      </c>
      <c r="B130" s="7" t="s">
        <v>20</v>
      </c>
      <c r="C130" s="7">
        <v>19.0</v>
      </c>
      <c r="D130" s="7">
        <v>1580.0</v>
      </c>
      <c r="E130" s="7">
        <v>1435.0</v>
      </c>
    </row>
    <row r="131" ht="14.25" customHeight="1">
      <c r="A131" s="20">
        <v>43958.0</v>
      </c>
      <c r="B131" s="7" t="s">
        <v>22</v>
      </c>
      <c r="C131" s="7">
        <v>54.0</v>
      </c>
      <c r="D131" s="7">
        <v>12743.0</v>
      </c>
      <c r="E131" s="7">
        <v>11858.0</v>
      </c>
    </row>
    <row r="132" ht="14.25" customHeight="1">
      <c r="A132" s="20">
        <v>43958.0</v>
      </c>
      <c r="B132" s="7" t="s">
        <v>21</v>
      </c>
      <c r="C132" s="7">
        <v>59.0</v>
      </c>
      <c r="D132" s="7">
        <v>13495.0</v>
      </c>
      <c r="E132" s="7">
        <v>12517.0</v>
      </c>
    </row>
    <row r="133" ht="14.25" customHeight="1">
      <c r="A133" s="20">
        <v>43958.0</v>
      </c>
      <c r="B133" s="7" t="s">
        <v>13</v>
      </c>
      <c r="C133" s="7">
        <v>19.0</v>
      </c>
      <c r="D133" s="7">
        <v>1530.0</v>
      </c>
      <c r="E133" s="7">
        <v>1338.0</v>
      </c>
    </row>
    <row r="134" ht="14.25" customHeight="1">
      <c r="A134" s="20">
        <v>43958.0</v>
      </c>
      <c r="B134" s="7" t="s">
        <v>23</v>
      </c>
      <c r="C134" s="7">
        <v>15.0</v>
      </c>
      <c r="D134" s="7">
        <v>676.0</v>
      </c>
      <c r="E134" s="7">
        <v>591.0</v>
      </c>
    </row>
    <row r="135" ht="14.25" customHeight="1">
      <c r="A135" s="20">
        <v>43958.0</v>
      </c>
      <c r="B135" s="7" t="s">
        <v>18</v>
      </c>
      <c r="C135" s="7">
        <v>15.0</v>
      </c>
      <c r="D135" s="7">
        <v>805.0</v>
      </c>
      <c r="E135" s="7">
        <v>703.0</v>
      </c>
    </row>
    <row r="136" ht="14.25" customHeight="1">
      <c r="A136" s="20">
        <v>43958.0</v>
      </c>
      <c r="B136" s="7" t="s">
        <v>19</v>
      </c>
      <c r="C136" s="7">
        <v>15.0</v>
      </c>
      <c r="D136" s="7">
        <v>480.0</v>
      </c>
      <c r="E136" s="7">
        <v>398.0</v>
      </c>
    </row>
    <row r="137" ht="14.25" customHeight="1">
      <c r="A137" s="20">
        <v>43958.0</v>
      </c>
      <c r="B137" s="7" t="s">
        <v>15</v>
      </c>
      <c r="C137" s="7">
        <v>125.0</v>
      </c>
      <c r="D137" s="7">
        <v>18014.0</v>
      </c>
      <c r="E137" s="7">
        <v>16675.0</v>
      </c>
    </row>
    <row r="138" ht="14.25" customHeight="1">
      <c r="A138" s="20">
        <v>43958.0</v>
      </c>
      <c r="B138" s="7" t="s">
        <v>14</v>
      </c>
      <c r="C138" s="7">
        <v>129.0</v>
      </c>
      <c r="D138" s="7">
        <v>14582.0</v>
      </c>
      <c r="E138" s="7">
        <v>13512.0</v>
      </c>
    </row>
    <row r="139" ht="14.25" customHeight="1">
      <c r="A139" s="20">
        <v>43958.0</v>
      </c>
      <c r="B139" s="7" t="s">
        <v>12</v>
      </c>
      <c r="C139" s="7">
        <v>10.0</v>
      </c>
      <c r="D139" s="7">
        <v>563.0</v>
      </c>
      <c r="E139" s="7">
        <v>486.0</v>
      </c>
    </row>
    <row r="140" ht="14.25" customHeight="1">
      <c r="A140" s="20">
        <v>43959.0</v>
      </c>
      <c r="B140" s="7" t="s">
        <v>16</v>
      </c>
      <c r="C140" s="7">
        <v>36.0</v>
      </c>
      <c r="D140" s="7">
        <v>4199.0</v>
      </c>
      <c r="E140" s="7">
        <v>3867.0</v>
      </c>
    </row>
    <row r="141" ht="14.25" customHeight="1">
      <c r="A141" s="20">
        <v>43959.0</v>
      </c>
      <c r="B141" s="7" t="s">
        <v>11</v>
      </c>
      <c r="C141" s="7">
        <v>31.0</v>
      </c>
      <c r="D141" s="7">
        <v>4635.0</v>
      </c>
      <c r="E141" s="7">
        <v>4266.0</v>
      </c>
    </row>
    <row r="142" ht="14.25" customHeight="1">
      <c r="A142" s="20">
        <v>43959.0</v>
      </c>
      <c r="B142" s="7" t="s">
        <v>17</v>
      </c>
      <c r="C142" s="7">
        <v>21.0</v>
      </c>
      <c r="D142" s="7">
        <v>1957.0</v>
      </c>
      <c r="E142" s="7">
        <v>1755.0</v>
      </c>
    </row>
    <row r="143" ht="14.25" customHeight="1">
      <c r="A143" s="20">
        <v>43959.0</v>
      </c>
      <c r="B143" s="7" t="s">
        <v>10</v>
      </c>
      <c r="C143" s="7">
        <v>21.0</v>
      </c>
      <c r="D143" s="7">
        <v>1646.0</v>
      </c>
      <c r="E143" s="7">
        <v>1492.0</v>
      </c>
    </row>
    <row r="144" ht="14.25" customHeight="1">
      <c r="A144" s="20">
        <v>43959.0</v>
      </c>
      <c r="B144" s="7" t="s">
        <v>20</v>
      </c>
      <c r="C144" s="7">
        <v>19.0</v>
      </c>
      <c r="D144" s="7">
        <v>1520.0</v>
      </c>
      <c r="E144" s="7">
        <v>1380.0</v>
      </c>
    </row>
    <row r="145" ht="14.25" customHeight="1">
      <c r="A145" s="20">
        <v>43959.0</v>
      </c>
      <c r="B145" s="7" t="s">
        <v>22</v>
      </c>
      <c r="C145" s="7">
        <v>54.0</v>
      </c>
      <c r="D145" s="7">
        <v>13563.0</v>
      </c>
      <c r="E145" s="7">
        <v>12604.0</v>
      </c>
    </row>
    <row r="146" ht="14.25" customHeight="1">
      <c r="A146" s="20">
        <v>43959.0</v>
      </c>
      <c r="B146" s="7" t="s">
        <v>21</v>
      </c>
      <c r="C146" s="7">
        <v>59.0</v>
      </c>
      <c r="D146" s="7">
        <v>14098.0</v>
      </c>
      <c r="E146" s="7">
        <v>13106.0</v>
      </c>
    </row>
    <row r="147" ht="14.25" customHeight="1">
      <c r="A147" s="20">
        <v>43959.0</v>
      </c>
      <c r="B147" s="7" t="s">
        <v>13</v>
      </c>
      <c r="C147" s="7">
        <v>19.0</v>
      </c>
      <c r="D147" s="7">
        <v>1522.0</v>
      </c>
      <c r="E147" s="7">
        <v>1340.0</v>
      </c>
    </row>
    <row r="148" ht="14.25" customHeight="1">
      <c r="A148" s="20">
        <v>43959.0</v>
      </c>
      <c r="B148" s="7" t="s">
        <v>23</v>
      </c>
      <c r="C148" s="7">
        <v>15.0</v>
      </c>
      <c r="D148" s="7">
        <v>703.0</v>
      </c>
      <c r="E148" s="7">
        <v>609.0</v>
      </c>
    </row>
    <row r="149" ht="14.25" customHeight="1">
      <c r="A149" s="20">
        <v>43959.0</v>
      </c>
      <c r="B149" s="7" t="s">
        <v>18</v>
      </c>
      <c r="C149" s="7">
        <v>15.0</v>
      </c>
      <c r="D149" s="7">
        <v>879.0</v>
      </c>
      <c r="E149" s="7">
        <v>768.0</v>
      </c>
    </row>
    <row r="150" ht="14.25" customHeight="1">
      <c r="A150" s="20">
        <v>43959.0</v>
      </c>
      <c r="B150" s="7" t="s">
        <v>19</v>
      </c>
      <c r="C150" s="7">
        <v>15.0</v>
      </c>
      <c r="D150" s="7">
        <v>492.0</v>
      </c>
      <c r="E150" s="7">
        <v>412.0</v>
      </c>
    </row>
    <row r="151" ht="14.25" customHeight="1">
      <c r="A151" s="20">
        <v>43959.0</v>
      </c>
      <c r="B151" s="7" t="s">
        <v>15</v>
      </c>
      <c r="C151" s="7">
        <v>125.0</v>
      </c>
      <c r="D151" s="7">
        <v>24620.0</v>
      </c>
      <c r="E151" s="7">
        <v>22641.0</v>
      </c>
    </row>
    <row r="152" ht="14.25" customHeight="1">
      <c r="A152" s="20">
        <v>43959.0</v>
      </c>
      <c r="B152" s="7" t="s">
        <v>14</v>
      </c>
      <c r="C152" s="7">
        <v>129.0</v>
      </c>
      <c r="D152" s="7">
        <v>20452.0</v>
      </c>
      <c r="E152" s="7">
        <v>18857.0</v>
      </c>
    </row>
    <row r="153" ht="14.25" customHeight="1">
      <c r="A153" s="20">
        <v>43959.0</v>
      </c>
      <c r="B153" s="7" t="s">
        <v>12</v>
      </c>
      <c r="C153" s="7">
        <v>10.0</v>
      </c>
      <c r="D153" s="7">
        <v>638.0</v>
      </c>
      <c r="E153" s="7">
        <v>547.0</v>
      </c>
    </row>
    <row r="154" ht="14.25" customHeight="1">
      <c r="A154" s="20">
        <v>43960.0</v>
      </c>
      <c r="B154" s="7" t="s">
        <v>16</v>
      </c>
      <c r="C154" s="7">
        <v>36.0</v>
      </c>
      <c r="D154" s="7">
        <v>5413.0</v>
      </c>
      <c r="E154" s="7">
        <v>4959.0</v>
      </c>
    </row>
    <row r="155" ht="14.25" customHeight="1">
      <c r="A155" s="20">
        <v>43960.0</v>
      </c>
      <c r="B155" s="7" t="s">
        <v>11</v>
      </c>
      <c r="C155" s="7">
        <v>31.0</v>
      </c>
      <c r="D155" s="7">
        <v>4556.0</v>
      </c>
      <c r="E155" s="7">
        <v>4220.0</v>
      </c>
    </row>
    <row r="156" ht="14.25" customHeight="1">
      <c r="A156" s="20">
        <v>43960.0</v>
      </c>
      <c r="B156" s="7" t="s">
        <v>17</v>
      </c>
      <c r="C156" s="7">
        <v>21.0</v>
      </c>
      <c r="D156" s="7">
        <v>1891.0</v>
      </c>
      <c r="E156" s="7">
        <v>1709.0</v>
      </c>
    </row>
    <row r="157" ht="14.25" customHeight="1">
      <c r="A157" s="20">
        <v>43960.0</v>
      </c>
      <c r="B157" s="7" t="s">
        <v>10</v>
      </c>
      <c r="C157" s="7">
        <v>21.0</v>
      </c>
      <c r="D157" s="7">
        <v>1735.0</v>
      </c>
      <c r="E157" s="7">
        <v>1568.0</v>
      </c>
    </row>
    <row r="158" ht="14.25" customHeight="1">
      <c r="A158" s="20">
        <v>43960.0</v>
      </c>
      <c r="B158" s="7" t="s">
        <v>20</v>
      </c>
      <c r="C158" s="7">
        <v>19.0</v>
      </c>
      <c r="D158" s="7">
        <v>1542.0</v>
      </c>
      <c r="E158" s="7">
        <v>1412.0</v>
      </c>
    </row>
    <row r="159" ht="14.25" customHeight="1">
      <c r="A159" s="20">
        <v>43960.0</v>
      </c>
      <c r="B159" s="7" t="s">
        <v>22</v>
      </c>
      <c r="C159" s="7">
        <v>54.0</v>
      </c>
      <c r="D159" s="7">
        <v>11288.0</v>
      </c>
      <c r="E159" s="7">
        <v>10492.0</v>
      </c>
    </row>
    <row r="160" ht="14.25" customHeight="1">
      <c r="A160" s="20">
        <v>43960.0</v>
      </c>
      <c r="B160" s="7" t="s">
        <v>21</v>
      </c>
      <c r="C160" s="7">
        <v>59.0</v>
      </c>
      <c r="D160" s="7">
        <v>12016.0</v>
      </c>
      <c r="E160" s="7">
        <v>11137.0</v>
      </c>
    </row>
    <row r="161" ht="14.25" customHeight="1">
      <c r="A161" s="20">
        <v>43960.0</v>
      </c>
      <c r="B161" s="7" t="s">
        <v>13</v>
      </c>
      <c r="C161" s="7">
        <v>19.0</v>
      </c>
      <c r="D161" s="7">
        <v>1851.0</v>
      </c>
      <c r="E161" s="7">
        <v>1635.0</v>
      </c>
    </row>
    <row r="162" ht="14.25" customHeight="1">
      <c r="A162" s="20">
        <v>43960.0</v>
      </c>
      <c r="B162" s="7" t="s">
        <v>23</v>
      </c>
      <c r="C162" s="7">
        <v>15.0</v>
      </c>
      <c r="D162" s="7">
        <v>654.0</v>
      </c>
      <c r="E162" s="7">
        <v>570.0</v>
      </c>
    </row>
    <row r="163" ht="14.25" customHeight="1">
      <c r="A163" s="20">
        <v>43960.0</v>
      </c>
      <c r="B163" s="7" t="s">
        <v>18</v>
      </c>
      <c r="C163" s="7">
        <v>15.0</v>
      </c>
      <c r="D163" s="7">
        <v>849.0</v>
      </c>
      <c r="E163" s="7">
        <v>740.0</v>
      </c>
    </row>
    <row r="164" ht="14.25" customHeight="1">
      <c r="A164" s="20">
        <v>43960.0</v>
      </c>
      <c r="B164" s="7" t="s">
        <v>19</v>
      </c>
      <c r="C164" s="7">
        <v>15.0</v>
      </c>
      <c r="D164" s="7">
        <v>623.0</v>
      </c>
      <c r="E164" s="7">
        <v>535.0</v>
      </c>
    </row>
    <row r="165" ht="14.25" customHeight="1">
      <c r="A165" s="20">
        <v>43960.0</v>
      </c>
      <c r="B165" s="7" t="s">
        <v>15</v>
      </c>
      <c r="C165" s="7">
        <v>125.0</v>
      </c>
      <c r="D165" s="7">
        <v>20132.0</v>
      </c>
      <c r="E165" s="7">
        <v>18617.0</v>
      </c>
    </row>
    <row r="166" ht="14.25" customHeight="1">
      <c r="A166" s="20">
        <v>43960.0</v>
      </c>
      <c r="B166" s="7" t="s">
        <v>14</v>
      </c>
      <c r="C166" s="7">
        <v>129.0</v>
      </c>
      <c r="D166" s="7">
        <v>16420.0</v>
      </c>
      <c r="E166" s="7">
        <v>15169.0</v>
      </c>
    </row>
    <row r="167" ht="14.25" customHeight="1">
      <c r="A167" s="20">
        <v>43960.0</v>
      </c>
      <c r="B167" s="7" t="s">
        <v>12</v>
      </c>
      <c r="C167" s="7">
        <v>10.0</v>
      </c>
      <c r="D167" s="7">
        <v>644.0</v>
      </c>
      <c r="E167" s="7">
        <v>559.0</v>
      </c>
    </row>
    <row r="168" ht="14.25" customHeight="1">
      <c r="A168" s="20">
        <v>43961.0</v>
      </c>
      <c r="B168" s="7" t="s">
        <v>16</v>
      </c>
      <c r="C168" s="7">
        <v>36.0</v>
      </c>
      <c r="D168" s="7">
        <v>5746.0</v>
      </c>
      <c r="E168" s="7">
        <v>5277.0</v>
      </c>
    </row>
    <row r="169" ht="14.25" customHeight="1">
      <c r="A169" s="20">
        <v>43961.0</v>
      </c>
      <c r="B169" s="7" t="s">
        <v>11</v>
      </c>
      <c r="C169" s="7">
        <v>31.0</v>
      </c>
      <c r="D169" s="7">
        <v>5495.0</v>
      </c>
      <c r="E169" s="7">
        <v>5093.0</v>
      </c>
    </row>
    <row r="170" ht="14.25" customHeight="1">
      <c r="A170" s="20">
        <v>43961.0</v>
      </c>
      <c r="B170" s="7" t="s">
        <v>17</v>
      </c>
      <c r="C170" s="7">
        <v>21.0</v>
      </c>
      <c r="D170" s="7">
        <v>2120.0</v>
      </c>
      <c r="E170" s="7">
        <v>1921.0</v>
      </c>
    </row>
    <row r="171" ht="14.25" customHeight="1">
      <c r="A171" s="20">
        <v>43961.0</v>
      </c>
      <c r="B171" s="7" t="s">
        <v>10</v>
      </c>
      <c r="C171" s="7">
        <v>21.0</v>
      </c>
      <c r="D171" s="7">
        <v>2016.0</v>
      </c>
      <c r="E171" s="7">
        <v>1846.0</v>
      </c>
    </row>
    <row r="172" ht="14.25" customHeight="1">
      <c r="A172" s="20">
        <v>43961.0</v>
      </c>
      <c r="B172" s="7" t="s">
        <v>20</v>
      </c>
      <c r="C172" s="7">
        <v>19.0</v>
      </c>
      <c r="D172" s="7">
        <v>1836.0</v>
      </c>
      <c r="E172" s="7">
        <v>1680.0</v>
      </c>
    </row>
    <row r="173" ht="14.25" customHeight="1">
      <c r="A173" s="20">
        <v>43961.0</v>
      </c>
      <c r="B173" s="7" t="s">
        <v>22</v>
      </c>
      <c r="C173" s="7">
        <v>54.0</v>
      </c>
      <c r="D173" s="7">
        <v>13832.0</v>
      </c>
      <c r="E173" s="7">
        <v>12864.0</v>
      </c>
    </row>
    <row r="174" ht="14.25" customHeight="1">
      <c r="A174" s="20">
        <v>43961.0</v>
      </c>
      <c r="B174" s="7" t="s">
        <v>21</v>
      </c>
      <c r="C174" s="7">
        <v>59.0</v>
      </c>
      <c r="D174" s="7">
        <v>14569.0</v>
      </c>
      <c r="E174" s="7">
        <v>13566.0</v>
      </c>
    </row>
    <row r="175" ht="14.25" customHeight="1">
      <c r="A175" s="20">
        <v>43961.0</v>
      </c>
      <c r="B175" s="7" t="s">
        <v>13</v>
      </c>
      <c r="C175" s="7">
        <v>19.0</v>
      </c>
      <c r="D175" s="7">
        <v>1848.0</v>
      </c>
      <c r="E175" s="7">
        <v>1649.0</v>
      </c>
    </row>
    <row r="176" ht="14.25" customHeight="1">
      <c r="A176" s="20">
        <v>43961.0</v>
      </c>
      <c r="B176" s="7" t="s">
        <v>23</v>
      </c>
      <c r="C176" s="7">
        <v>15.0</v>
      </c>
      <c r="D176" s="7">
        <v>792.0</v>
      </c>
      <c r="E176" s="7">
        <v>695.0</v>
      </c>
    </row>
    <row r="177" ht="14.25" customHeight="1">
      <c r="A177" s="20">
        <v>43961.0</v>
      </c>
      <c r="B177" s="7" t="s">
        <v>18</v>
      </c>
      <c r="C177" s="7">
        <v>15.0</v>
      </c>
      <c r="D177" s="7">
        <v>950.0</v>
      </c>
      <c r="E177" s="7">
        <v>848.0</v>
      </c>
    </row>
    <row r="178" ht="14.25" customHeight="1">
      <c r="A178" s="20">
        <v>43961.0</v>
      </c>
      <c r="B178" s="7" t="s">
        <v>19</v>
      </c>
      <c r="C178" s="7">
        <v>15.0</v>
      </c>
      <c r="D178" s="7">
        <v>706.0</v>
      </c>
      <c r="E178" s="7">
        <v>608.0</v>
      </c>
    </row>
    <row r="179" ht="14.25" customHeight="1">
      <c r="A179" s="20">
        <v>43961.0</v>
      </c>
      <c r="B179" s="7" t="s">
        <v>15</v>
      </c>
      <c r="C179" s="7">
        <v>125.0</v>
      </c>
      <c r="D179" s="7">
        <v>20368.0</v>
      </c>
      <c r="E179" s="7">
        <v>18884.0</v>
      </c>
    </row>
    <row r="180" ht="14.25" customHeight="1">
      <c r="A180" s="20">
        <v>43961.0</v>
      </c>
      <c r="B180" s="7" t="s">
        <v>14</v>
      </c>
      <c r="C180" s="7">
        <v>129.0</v>
      </c>
      <c r="D180" s="7">
        <v>16437.0</v>
      </c>
      <c r="E180" s="7">
        <v>15285.0</v>
      </c>
    </row>
    <row r="181" ht="14.25" customHeight="1">
      <c r="A181" s="20">
        <v>43961.0</v>
      </c>
      <c r="B181" s="7" t="s">
        <v>12</v>
      </c>
      <c r="C181" s="7">
        <v>10.0</v>
      </c>
      <c r="D181" s="7">
        <v>642.0</v>
      </c>
      <c r="E181" s="7">
        <v>556.0</v>
      </c>
    </row>
    <row r="182" ht="14.25" customHeight="1">
      <c r="A182" s="20">
        <v>43962.0</v>
      </c>
      <c r="B182" s="7" t="s">
        <v>16</v>
      </c>
      <c r="C182" s="7">
        <v>36.0</v>
      </c>
      <c r="D182" s="7">
        <v>4150.0</v>
      </c>
      <c r="E182" s="7">
        <v>3838.0</v>
      </c>
    </row>
    <row r="183" ht="14.25" customHeight="1">
      <c r="A183" s="20">
        <v>43962.0</v>
      </c>
      <c r="B183" s="7" t="s">
        <v>11</v>
      </c>
      <c r="C183" s="7">
        <v>31.0</v>
      </c>
      <c r="D183" s="7">
        <v>4826.0</v>
      </c>
      <c r="E183" s="7">
        <v>4483.0</v>
      </c>
    </row>
    <row r="184" ht="14.25" customHeight="1">
      <c r="A184" s="20">
        <v>43962.0</v>
      </c>
      <c r="B184" s="7" t="s">
        <v>17</v>
      </c>
      <c r="C184" s="7">
        <v>21.0</v>
      </c>
      <c r="D184" s="7">
        <v>1916.0</v>
      </c>
      <c r="E184" s="7">
        <v>1733.0</v>
      </c>
    </row>
    <row r="185" ht="14.25" customHeight="1">
      <c r="A185" s="20">
        <v>43962.0</v>
      </c>
      <c r="B185" s="7" t="s">
        <v>10</v>
      </c>
      <c r="C185" s="7">
        <v>21.0</v>
      </c>
      <c r="D185" s="7">
        <v>1597.0</v>
      </c>
      <c r="E185" s="7">
        <v>1457.0</v>
      </c>
    </row>
    <row r="186" ht="14.25" customHeight="1">
      <c r="A186" s="20">
        <v>43962.0</v>
      </c>
      <c r="B186" s="7" t="s">
        <v>20</v>
      </c>
      <c r="C186" s="7">
        <v>19.0</v>
      </c>
      <c r="D186" s="7">
        <v>1527.0</v>
      </c>
      <c r="E186" s="7">
        <v>1389.0</v>
      </c>
    </row>
    <row r="187" ht="14.25" customHeight="1">
      <c r="A187" s="20">
        <v>43962.0</v>
      </c>
      <c r="B187" s="7" t="s">
        <v>22</v>
      </c>
      <c r="C187" s="7">
        <v>54.0</v>
      </c>
      <c r="D187" s="7">
        <v>10570.0</v>
      </c>
      <c r="E187" s="7">
        <v>9926.0</v>
      </c>
    </row>
    <row r="188" ht="14.25" customHeight="1">
      <c r="A188" s="20">
        <v>43962.0</v>
      </c>
      <c r="B188" s="7" t="s">
        <v>21</v>
      </c>
      <c r="C188" s="7">
        <v>60.0</v>
      </c>
      <c r="D188" s="7">
        <v>11100.0</v>
      </c>
      <c r="E188" s="7">
        <v>10407.0</v>
      </c>
    </row>
    <row r="189" ht="14.25" customHeight="1">
      <c r="A189" s="20">
        <v>43962.0</v>
      </c>
      <c r="B189" s="7" t="s">
        <v>13</v>
      </c>
      <c r="C189" s="7">
        <v>19.0</v>
      </c>
      <c r="D189" s="7">
        <v>2530.0</v>
      </c>
      <c r="E189" s="7">
        <v>2270.0</v>
      </c>
    </row>
    <row r="190" ht="14.25" customHeight="1">
      <c r="A190" s="20">
        <v>43962.0</v>
      </c>
      <c r="B190" s="7" t="s">
        <v>23</v>
      </c>
      <c r="C190" s="7">
        <v>15.0</v>
      </c>
      <c r="D190" s="7">
        <v>654.0</v>
      </c>
      <c r="E190" s="7">
        <v>564.0</v>
      </c>
    </row>
    <row r="191" ht="14.25" customHeight="1">
      <c r="A191" s="20">
        <v>43962.0</v>
      </c>
      <c r="B191" s="7" t="s">
        <v>18</v>
      </c>
      <c r="C191" s="7">
        <v>15.0</v>
      </c>
      <c r="D191" s="7">
        <v>812.0</v>
      </c>
      <c r="E191" s="7">
        <v>714.0</v>
      </c>
    </row>
    <row r="192" ht="14.25" customHeight="1">
      <c r="A192" s="20">
        <v>43962.0</v>
      </c>
      <c r="B192" s="7" t="s">
        <v>19</v>
      </c>
      <c r="C192" s="7">
        <v>15.0</v>
      </c>
      <c r="D192" s="7">
        <v>684.0</v>
      </c>
      <c r="E192" s="7">
        <v>585.0</v>
      </c>
    </row>
    <row r="193" ht="14.25" customHeight="1">
      <c r="A193" s="20">
        <v>43962.0</v>
      </c>
      <c r="B193" s="7" t="s">
        <v>15</v>
      </c>
      <c r="C193" s="7">
        <v>125.0</v>
      </c>
      <c r="D193" s="7">
        <v>18066.0</v>
      </c>
      <c r="E193" s="7">
        <v>16883.0</v>
      </c>
    </row>
    <row r="194" ht="14.25" customHeight="1">
      <c r="A194" s="20">
        <v>43962.0</v>
      </c>
      <c r="B194" s="7" t="s">
        <v>14</v>
      </c>
      <c r="C194" s="7">
        <v>129.0</v>
      </c>
      <c r="D194" s="7">
        <v>14043.0</v>
      </c>
      <c r="E194" s="7">
        <v>13167.0</v>
      </c>
    </row>
    <row r="195" ht="14.25" customHeight="1">
      <c r="A195" s="20">
        <v>43962.0</v>
      </c>
      <c r="B195" s="7" t="s">
        <v>12</v>
      </c>
      <c r="C195" s="7">
        <v>10.0</v>
      </c>
      <c r="D195" s="7">
        <v>494.0</v>
      </c>
      <c r="E195" s="7">
        <v>421.0</v>
      </c>
    </row>
    <row r="196" ht="14.25" customHeight="1">
      <c r="A196" s="20">
        <v>43963.0</v>
      </c>
      <c r="B196" s="7" t="s">
        <v>16</v>
      </c>
      <c r="C196" s="7">
        <v>36.0</v>
      </c>
      <c r="D196" s="7">
        <v>4418.0</v>
      </c>
      <c r="E196" s="7">
        <v>4088.0</v>
      </c>
    </row>
    <row r="197" ht="14.25" customHeight="1">
      <c r="A197" s="20">
        <v>43963.0</v>
      </c>
      <c r="B197" s="7" t="s">
        <v>11</v>
      </c>
      <c r="C197" s="7">
        <v>31.0</v>
      </c>
      <c r="D197" s="7">
        <v>4800.0</v>
      </c>
      <c r="E197" s="7">
        <v>4470.0</v>
      </c>
    </row>
    <row r="198" ht="14.25" customHeight="1">
      <c r="A198" s="20">
        <v>43963.0</v>
      </c>
      <c r="B198" s="7" t="s">
        <v>17</v>
      </c>
      <c r="C198" s="7">
        <v>21.0</v>
      </c>
      <c r="D198" s="7">
        <v>1926.0</v>
      </c>
      <c r="E198" s="7">
        <v>1745.0</v>
      </c>
    </row>
    <row r="199" ht="14.25" customHeight="1">
      <c r="A199" s="20">
        <v>43963.0</v>
      </c>
      <c r="B199" s="7" t="s">
        <v>10</v>
      </c>
      <c r="C199" s="7">
        <v>21.0</v>
      </c>
      <c r="D199" s="7">
        <v>1656.0</v>
      </c>
      <c r="E199" s="7">
        <v>1516.0</v>
      </c>
    </row>
    <row r="200" ht="14.25" customHeight="1">
      <c r="A200" s="20">
        <v>43963.0</v>
      </c>
      <c r="B200" s="7" t="s">
        <v>20</v>
      </c>
      <c r="C200" s="7">
        <v>19.0</v>
      </c>
      <c r="D200" s="7">
        <v>1598.0</v>
      </c>
      <c r="E200" s="7">
        <v>1454.0</v>
      </c>
    </row>
    <row r="201" ht="14.25" customHeight="1">
      <c r="A201" s="20">
        <v>43963.0</v>
      </c>
      <c r="B201" s="7" t="s">
        <v>22</v>
      </c>
      <c r="C201" s="7">
        <v>54.0</v>
      </c>
      <c r="D201" s="7">
        <v>11614.0</v>
      </c>
      <c r="E201" s="7">
        <v>10862.0</v>
      </c>
    </row>
    <row r="202" ht="14.25" customHeight="1">
      <c r="A202" s="20">
        <v>43963.0</v>
      </c>
      <c r="B202" s="7" t="s">
        <v>21</v>
      </c>
      <c r="C202" s="7">
        <v>60.0</v>
      </c>
      <c r="D202" s="7">
        <v>12000.0</v>
      </c>
      <c r="E202" s="7">
        <v>11194.0</v>
      </c>
    </row>
    <row r="203" ht="14.25" customHeight="1">
      <c r="A203" s="20">
        <v>43963.0</v>
      </c>
      <c r="B203" s="7" t="s">
        <v>13</v>
      </c>
      <c r="C203" s="7">
        <v>19.0</v>
      </c>
      <c r="D203" s="7">
        <v>1649.0</v>
      </c>
      <c r="E203" s="7">
        <v>1460.0</v>
      </c>
    </row>
    <row r="204" ht="14.25" customHeight="1">
      <c r="A204" s="20">
        <v>43963.0</v>
      </c>
      <c r="B204" s="7" t="s">
        <v>23</v>
      </c>
      <c r="C204" s="7">
        <v>15.0</v>
      </c>
      <c r="D204" s="7">
        <v>750.0</v>
      </c>
      <c r="E204" s="7">
        <v>659.0</v>
      </c>
    </row>
    <row r="205" ht="14.25" customHeight="1">
      <c r="A205" s="20">
        <v>43963.0</v>
      </c>
      <c r="B205" s="7" t="s">
        <v>18</v>
      </c>
      <c r="C205" s="7">
        <v>15.0</v>
      </c>
      <c r="D205" s="7">
        <v>845.0</v>
      </c>
      <c r="E205" s="7">
        <v>743.0</v>
      </c>
    </row>
    <row r="206" ht="14.25" customHeight="1">
      <c r="A206" s="20">
        <v>43963.0</v>
      </c>
      <c r="B206" s="7" t="s">
        <v>19</v>
      </c>
      <c r="C206" s="7">
        <v>15.0</v>
      </c>
      <c r="D206" s="7">
        <v>624.0</v>
      </c>
      <c r="E206" s="7">
        <v>538.0</v>
      </c>
    </row>
    <row r="207" ht="14.25" customHeight="1">
      <c r="A207" s="20">
        <v>43963.0</v>
      </c>
      <c r="B207" s="7" t="s">
        <v>15</v>
      </c>
      <c r="C207" s="7">
        <v>125.0</v>
      </c>
      <c r="D207" s="7">
        <v>21106.0</v>
      </c>
      <c r="E207" s="7">
        <v>19651.0</v>
      </c>
    </row>
    <row r="208" ht="14.25" customHeight="1">
      <c r="A208" s="20">
        <v>43963.0</v>
      </c>
      <c r="B208" s="7" t="s">
        <v>14</v>
      </c>
      <c r="C208" s="7">
        <v>129.0</v>
      </c>
      <c r="D208" s="7">
        <v>16387.0</v>
      </c>
      <c r="E208" s="7">
        <v>15322.0</v>
      </c>
    </row>
    <row r="209" ht="14.25" customHeight="1">
      <c r="A209" s="20">
        <v>43963.0</v>
      </c>
      <c r="B209" s="7" t="s">
        <v>12</v>
      </c>
      <c r="C209" s="7">
        <v>10.0</v>
      </c>
      <c r="D209" s="7">
        <v>526.0</v>
      </c>
      <c r="E209" s="7">
        <v>448.0</v>
      </c>
    </row>
    <row r="210" ht="14.25" customHeight="1">
      <c r="A210" s="20">
        <v>43964.0</v>
      </c>
      <c r="B210" s="7" t="s">
        <v>16</v>
      </c>
      <c r="C210" s="7">
        <v>36.0</v>
      </c>
      <c r="D210" s="7">
        <v>4967.0</v>
      </c>
      <c r="E210" s="7">
        <v>4583.0</v>
      </c>
    </row>
    <row r="211" ht="14.25" customHeight="1">
      <c r="A211" s="20">
        <v>43964.0</v>
      </c>
      <c r="B211" s="7" t="s">
        <v>11</v>
      </c>
      <c r="C211" s="7">
        <v>31.0</v>
      </c>
      <c r="D211" s="7">
        <v>5251.0</v>
      </c>
      <c r="E211" s="7">
        <v>4853.0</v>
      </c>
    </row>
    <row r="212" ht="14.25" customHeight="1">
      <c r="A212" s="20">
        <v>43964.0</v>
      </c>
      <c r="B212" s="7" t="s">
        <v>17</v>
      </c>
      <c r="C212" s="7">
        <v>21.0</v>
      </c>
      <c r="D212" s="7">
        <v>2061.0</v>
      </c>
      <c r="E212" s="7">
        <v>1876.0</v>
      </c>
    </row>
    <row r="213" ht="14.25" customHeight="1">
      <c r="A213" s="20">
        <v>43964.0</v>
      </c>
      <c r="B213" s="7" t="s">
        <v>10</v>
      </c>
      <c r="C213" s="7">
        <v>21.0</v>
      </c>
      <c r="D213" s="7">
        <v>1698.0</v>
      </c>
      <c r="E213" s="7">
        <v>1554.0</v>
      </c>
    </row>
    <row r="214" ht="14.25" customHeight="1">
      <c r="A214" s="20">
        <v>43964.0</v>
      </c>
      <c r="B214" s="7" t="s">
        <v>20</v>
      </c>
      <c r="C214" s="7">
        <v>19.0</v>
      </c>
      <c r="D214" s="7">
        <v>1605.0</v>
      </c>
      <c r="E214" s="7">
        <v>1447.0</v>
      </c>
    </row>
    <row r="215" ht="14.25" customHeight="1">
      <c r="A215" s="20">
        <v>43964.0</v>
      </c>
      <c r="B215" s="7" t="s">
        <v>22</v>
      </c>
      <c r="C215" s="7">
        <v>54.0</v>
      </c>
      <c r="D215" s="7">
        <v>11522.0</v>
      </c>
      <c r="E215" s="7">
        <v>10803.0</v>
      </c>
    </row>
    <row r="216" ht="14.25" customHeight="1">
      <c r="A216" s="20">
        <v>43964.0</v>
      </c>
      <c r="B216" s="7" t="s">
        <v>21</v>
      </c>
      <c r="C216" s="7">
        <v>60.0</v>
      </c>
      <c r="D216" s="7">
        <v>12007.0</v>
      </c>
      <c r="E216" s="7">
        <v>11245.0</v>
      </c>
    </row>
    <row r="217" ht="14.25" customHeight="1">
      <c r="A217" s="20">
        <v>43964.0</v>
      </c>
      <c r="B217" s="7" t="s">
        <v>13</v>
      </c>
      <c r="C217" s="7">
        <v>19.0</v>
      </c>
      <c r="D217" s="7">
        <v>1625.0</v>
      </c>
      <c r="E217" s="7">
        <v>1444.0</v>
      </c>
    </row>
    <row r="218" ht="14.25" customHeight="1">
      <c r="A218" s="20">
        <v>43964.0</v>
      </c>
      <c r="B218" s="7" t="s">
        <v>23</v>
      </c>
      <c r="C218" s="7">
        <v>15.0</v>
      </c>
      <c r="D218" s="7">
        <v>854.0</v>
      </c>
      <c r="E218" s="7">
        <v>756.0</v>
      </c>
    </row>
    <row r="219" ht="14.25" customHeight="1">
      <c r="A219" s="20">
        <v>43964.0</v>
      </c>
      <c r="B219" s="7" t="s">
        <v>18</v>
      </c>
      <c r="C219" s="7">
        <v>15.0</v>
      </c>
      <c r="D219" s="7">
        <v>898.0</v>
      </c>
      <c r="E219" s="7">
        <v>795.0</v>
      </c>
    </row>
    <row r="220" ht="14.25" customHeight="1">
      <c r="A220" s="20">
        <v>43964.0</v>
      </c>
      <c r="B220" s="7" t="s">
        <v>19</v>
      </c>
      <c r="C220" s="7">
        <v>15.0</v>
      </c>
      <c r="D220" s="7">
        <v>599.0</v>
      </c>
      <c r="E220" s="7">
        <v>515.0</v>
      </c>
    </row>
    <row r="221" ht="14.25" customHeight="1">
      <c r="A221" s="20">
        <v>43964.0</v>
      </c>
      <c r="B221" s="7" t="s">
        <v>15</v>
      </c>
      <c r="C221" s="7">
        <v>125.0</v>
      </c>
      <c r="D221" s="7">
        <v>19965.0</v>
      </c>
      <c r="E221" s="7">
        <v>18573.0</v>
      </c>
    </row>
    <row r="222" ht="14.25" customHeight="1">
      <c r="A222" s="20">
        <v>43964.0</v>
      </c>
      <c r="B222" s="7" t="s">
        <v>14</v>
      </c>
      <c r="C222" s="7">
        <v>129.0</v>
      </c>
      <c r="D222" s="7">
        <v>15304.0</v>
      </c>
      <c r="E222" s="7">
        <v>14315.0</v>
      </c>
    </row>
    <row r="223" ht="14.25" customHeight="1">
      <c r="A223" s="20">
        <v>43964.0</v>
      </c>
      <c r="B223" s="7" t="s">
        <v>12</v>
      </c>
      <c r="C223" s="7">
        <v>10.0</v>
      </c>
      <c r="D223" s="7">
        <v>612.0</v>
      </c>
      <c r="E223" s="7">
        <v>530.0</v>
      </c>
    </row>
    <row r="224" ht="14.25" customHeight="1">
      <c r="A224" s="20">
        <v>43965.0</v>
      </c>
      <c r="B224" s="7" t="s">
        <v>16</v>
      </c>
      <c r="C224" s="7">
        <v>36.0</v>
      </c>
      <c r="D224" s="7">
        <v>4285.0</v>
      </c>
      <c r="E224" s="7">
        <v>3950.0</v>
      </c>
    </row>
    <row r="225" ht="14.25" customHeight="1">
      <c r="A225" s="20">
        <v>43965.0</v>
      </c>
      <c r="B225" s="7" t="s">
        <v>11</v>
      </c>
      <c r="C225" s="7">
        <v>31.0</v>
      </c>
      <c r="D225" s="7">
        <v>4695.0</v>
      </c>
      <c r="E225" s="7">
        <v>4372.0</v>
      </c>
    </row>
    <row r="226" ht="14.25" customHeight="1">
      <c r="A226" s="20">
        <v>43965.0</v>
      </c>
      <c r="B226" s="7" t="s">
        <v>17</v>
      </c>
      <c r="C226" s="7">
        <v>21.0</v>
      </c>
      <c r="D226" s="7">
        <v>1993.0</v>
      </c>
      <c r="E226" s="7">
        <v>1796.0</v>
      </c>
    </row>
    <row r="227" ht="14.25" customHeight="1">
      <c r="A227" s="20">
        <v>43965.0</v>
      </c>
      <c r="B227" s="7" t="s">
        <v>10</v>
      </c>
      <c r="C227" s="7">
        <v>21.0</v>
      </c>
      <c r="D227" s="7">
        <v>1706.0</v>
      </c>
      <c r="E227" s="7">
        <v>1548.0</v>
      </c>
    </row>
    <row r="228" ht="14.25" customHeight="1">
      <c r="A228" s="20">
        <v>43965.0</v>
      </c>
      <c r="B228" s="7" t="s">
        <v>20</v>
      </c>
      <c r="C228" s="7">
        <v>19.0</v>
      </c>
      <c r="D228" s="7">
        <v>1635.0</v>
      </c>
      <c r="E228" s="7">
        <v>1487.0</v>
      </c>
    </row>
    <row r="229" ht="14.25" customHeight="1">
      <c r="A229" s="20">
        <v>43965.0</v>
      </c>
      <c r="B229" s="7" t="s">
        <v>22</v>
      </c>
      <c r="C229" s="7">
        <v>54.0</v>
      </c>
      <c r="D229" s="7">
        <v>11194.0</v>
      </c>
      <c r="E229" s="7">
        <v>10554.0</v>
      </c>
    </row>
    <row r="230" ht="14.25" customHeight="1">
      <c r="A230" s="20">
        <v>43965.0</v>
      </c>
      <c r="B230" s="7" t="s">
        <v>21</v>
      </c>
      <c r="C230" s="7">
        <v>60.0</v>
      </c>
      <c r="D230" s="7">
        <v>11935.0</v>
      </c>
      <c r="E230" s="7">
        <v>11178.0</v>
      </c>
    </row>
    <row r="231" ht="14.25" customHeight="1">
      <c r="A231" s="20">
        <v>43965.0</v>
      </c>
      <c r="B231" s="7" t="s">
        <v>13</v>
      </c>
      <c r="C231" s="7">
        <v>19.0</v>
      </c>
      <c r="D231" s="7">
        <v>1675.0</v>
      </c>
      <c r="E231" s="7">
        <v>1475.0</v>
      </c>
    </row>
    <row r="232" ht="14.25" customHeight="1">
      <c r="A232" s="20">
        <v>43965.0</v>
      </c>
      <c r="B232" s="7" t="s">
        <v>23</v>
      </c>
      <c r="C232" s="7">
        <v>16.0</v>
      </c>
      <c r="D232" s="7">
        <v>834.0</v>
      </c>
      <c r="E232" s="7">
        <v>735.0</v>
      </c>
    </row>
    <row r="233" ht="14.25" customHeight="1">
      <c r="A233" s="20">
        <v>43965.0</v>
      </c>
      <c r="B233" s="7" t="s">
        <v>18</v>
      </c>
      <c r="C233" s="7">
        <v>15.0</v>
      </c>
      <c r="D233" s="7">
        <v>890.0</v>
      </c>
      <c r="E233" s="7">
        <v>777.0</v>
      </c>
    </row>
    <row r="234" ht="14.25" customHeight="1">
      <c r="A234" s="20">
        <v>43965.0</v>
      </c>
      <c r="B234" s="7" t="s">
        <v>19</v>
      </c>
      <c r="C234" s="7">
        <v>15.0</v>
      </c>
      <c r="D234" s="7">
        <v>638.0</v>
      </c>
      <c r="E234" s="7">
        <v>548.0</v>
      </c>
    </row>
    <row r="235" ht="14.25" customHeight="1">
      <c r="A235" s="20">
        <v>43965.0</v>
      </c>
      <c r="B235" s="7" t="s">
        <v>15</v>
      </c>
      <c r="C235" s="7">
        <v>125.0</v>
      </c>
      <c r="D235" s="7">
        <v>20247.0</v>
      </c>
      <c r="E235" s="7">
        <v>18812.0</v>
      </c>
    </row>
    <row r="236" ht="14.25" customHeight="1">
      <c r="A236" s="20">
        <v>43965.0</v>
      </c>
      <c r="B236" s="7" t="s">
        <v>14</v>
      </c>
      <c r="C236" s="7">
        <v>129.0</v>
      </c>
      <c r="D236" s="7">
        <v>15804.0</v>
      </c>
      <c r="E236" s="7">
        <v>14738.0</v>
      </c>
    </row>
    <row r="237" ht="14.25" customHeight="1">
      <c r="A237" s="20">
        <v>43965.0</v>
      </c>
      <c r="B237" s="7" t="s">
        <v>12</v>
      </c>
      <c r="C237" s="7">
        <v>10.0</v>
      </c>
      <c r="D237" s="7">
        <v>627.0</v>
      </c>
      <c r="E237" s="7">
        <v>545.0</v>
      </c>
    </row>
    <row r="238" ht="14.25" customHeight="1">
      <c r="A238" s="20">
        <v>43966.0</v>
      </c>
      <c r="B238" s="7" t="s">
        <v>16</v>
      </c>
      <c r="C238" s="7">
        <v>36.0</v>
      </c>
      <c r="D238" s="7">
        <v>4862.0</v>
      </c>
      <c r="E238" s="7">
        <v>4476.0</v>
      </c>
    </row>
    <row r="239" ht="14.25" customHeight="1">
      <c r="A239" s="20">
        <v>43966.0</v>
      </c>
      <c r="B239" s="7" t="s">
        <v>11</v>
      </c>
      <c r="C239" s="7">
        <v>31.0</v>
      </c>
      <c r="D239" s="7">
        <v>5184.0</v>
      </c>
      <c r="E239" s="7">
        <v>4778.0</v>
      </c>
    </row>
    <row r="240" ht="14.25" customHeight="1">
      <c r="A240" s="20">
        <v>43966.0</v>
      </c>
      <c r="B240" s="7" t="s">
        <v>17</v>
      </c>
      <c r="C240" s="7">
        <v>21.0</v>
      </c>
      <c r="D240" s="7">
        <v>2255.0</v>
      </c>
      <c r="E240" s="7">
        <v>2045.0</v>
      </c>
    </row>
    <row r="241" ht="14.25" customHeight="1">
      <c r="A241" s="20">
        <v>43966.0</v>
      </c>
      <c r="B241" s="7" t="s">
        <v>10</v>
      </c>
      <c r="C241" s="7">
        <v>21.0</v>
      </c>
      <c r="D241" s="7">
        <v>1926.0</v>
      </c>
      <c r="E241" s="7">
        <v>1742.0</v>
      </c>
    </row>
    <row r="242" ht="14.25" customHeight="1">
      <c r="A242" s="20">
        <v>43966.0</v>
      </c>
      <c r="B242" s="7" t="s">
        <v>20</v>
      </c>
      <c r="C242" s="7">
        <v>19.0</v>
      </c>
      <c r="D242" s="7">
        <v>1780.0</v>
      </c>
      <c r="E242" s="7">
        <v>1615.0</v>
      </c>
    </row>
    <row r="243" ht="14.25" customHeight="1">
      <c r="A243" s="20">
        <v>43966.0</v>
      </c>
      <c r="B243" s="7" t="s">
        <v>22</v>
      </c>
      <c r="C243" s="7">
        <v>54.0</v>
      </c>
      <c r="D243" s="7">
        <v>12791.0</v>
      </c>
      <c r="E243" s="7">
        <v>11950.0</v>
      </c>
    </row>
    <row r="244" ht="14.25" customHeight="1">
      <c r="A244" s="20">
        <v>43966.0</v>
      </c>
      <c r="B244" s="7" t="s">
        <v>21</v>
      </c>
      <c r="C244" s="7">
        <v>60.0</v>
      </c>
      <c r="D244" s="7">
        <v>13544.0</v>
      </c>
      <c r="E244" s="7">
        <v>12643.0</v>
      </c>
    </row>
    <row r="245" ht="14.25" customHeight="1">
      <c r="A245" s="20">
        <v>43966.0</v>
      </c>
      <c r="B245" s="7" t="s">
        <v>13</v>
      </c>
      <c r="C245" s="7">
        <v>19.0</v>
      </c>
      <c r="D245" s="7">
        <v>1940.0</v>
      </c>
      <c r="E245" s="7">
        <v>1715.0</v>
      </c>
    </row>
    <row r="246" ht="14.25" customHeight="1">
      <c r="A246" s="20">
        <v>43966.0</v>
      </c>
      <c r="B246" s="7" t="s">
        <v>23</v>
      </c>
      <c r="C246" s="7">
        <v>16.0</v>
      </c>
      <c r="D246" s="7">
        <v>817.0</v>
      </c>
      <c r="E246" s="7">
        <v>718.0</v>
      </c>
    </row>
    <row r="247" ht="14.25" customHeight="1">
      <c r="A247" s="20">
        <v>43966.0</v>
      </c>
      <c r="B247" s="7" t="s">
        <v>18</v>
      </c>
      <c r="C247" s="7">
        <v>15.0</v>
      </c>
      <c r="D247" s="7">
        <v>980.0</v>
      </c>
      <c r="E247" s="7">
        <v>867.0</v>
      </c>
    </row>
    <row r="248" ht="14.25" customHeight="1">
      <c r="A248" s="20">
        <v>43966.0</v>
      </c>
      <c r="B248" s="7" t="s">
        <v>19</v>
      </c>
      <c r="C248" s="7">
        <v>15.0</v>
      </c>
      <c r="D248" s="7">
        <v>688.0</v>
      </c>
      <c r="E248" s="7">
        <v>598.0</v>
      </c>
    </row>
    <row r="249" ht="14.25" customHeight="1">
      <c r="A249" s="20">
        <v>43966.0</v>
      </c>
      <c r="B249" s="7" t="s">
        <v>15</v>
      </c>
      <c r="C249" s="7">
        <v>125.0</v>
      </c>
      <c r="D249" s="7">
        <v>21862.0</v>
      </c>
      <c r="E249" s="7">
        <v>20235.0</v>
      </c>
    </row>
    <row r="250" ht="14.25" customHeight="1">
      <c r="A250" s="20">
        <v>43966.0</v>
      </c>
      <c r="B250" s="7" t="s">
        <v>14</v>
      </c>
      <c r="C250" s="7">
        <v>129.0</v>
      </c>
      <c r="D250" s="7">
        <v>17808.0</v>
      </c>
      <c r="E250" s="7">
        <v>16486.0</v>
      </c>
    </row>
    <row r="251" ht="14.25" customHeight="1">
      <c r="A251" s="20">
        <v>43966.0</v>
      </c>
      <c r="B251" s="7" t="s">
        <v>12</v>
      </c>
      <c r="C251" s="7">
        <v>10.0</v>
      </c>
      <c r="D251" s="7">
        <v>743.0</v>
      </c>
      <c r="E251" s="7">
        <v>652.0</v>
      </c>
    </row>
    <row r="252" ht="14.25" customHeight="1">
      <c r="A252" s="20">
        <v>43967.0</v>
      </c>
      <c r="B252" s="7" t="s">
        <v>16</v>
      </c>
      <c r="C252" s="7">
        <v>36.0</v>
      </c>
      <c r="D252" s="7">
        <v>5286.0</v>
      </c>
      <c r="E252" s="7">
        <v>4867.0</v>
      </c>
    </row>
    <row r="253" ht="14.25" customHeight="1">
      <c r="A253" s="20">
        <v>43967.0</v>
      </c>
      <c r="B253" s="7" t="s">
        <v>11</v>
      </c>
      <c r="C253" s="7">
        <v>31.0</v>
      </c>
      <c r="D253" s="7">
        <v>5593.0</v>
      </c>
      <c r="E253" s="7">
        <v>5177.0</v>
      </c>
    </row>
    <row r="254" ht="14.25" customHeight="1">
      <c r="A254" s="20">
        <v>43967.0</v>
      </c>
      <c r="B254" s="7" t="s">
        <v>17</v>
      </c>
      <c r="C254" s="7">
        <v>21.0</v>
      </c>
      <c r="D254" s="7">
        <v>2427.0</v>
      </c>
      <c r="E254" s="7">
        <v>2213.0</v>
      </c>
    </row>
    <row r="255" ht="14.25" customHeight="1">
      <c r="A255" s="20">
        <v>43967.0</v>
      </c>
      <c r="B255" s="7" t="s">
        <v>10</v>
      </c>
      <c r="C255" s="7">
        <v>21.0</v>
      </c>
      <c r="D255" s="7">
        <v>2145.0</v>
      </c>
      <c r="E255" s="7">
        <v>1947.0</v>
      </c>
    </row>
    <row r="256" ht="14.25" customHeight="1">
      <c r="A256" s="20">
        <v>43967.0</v>
      </c>
      <c r="B256" s="7" t="s">
        <v>20</v>
      </c>
      <c r="C256" s="7">
        <v>19.0</v>
      </c>
      <c r="D256" s="7">
        <v>2039.0</v>
      </c>
      <c r="E256" s="7">
        <v>1868.0</v>
      </c>
    </row>
    <row r="257" ht="14.25" customHeight="1">
      <c r="A257" s="20">
        <v>43967.0</v>
      </c>
      <c r="B257" s="7" t="s">
        <v>22</v>
      </c>
      <c r="C257" s="7">
        <v>54.0</v>
      </c>
      <c r="D257" s="7">
        <v>13170.0</v>
      </c>
      <c r="E257" s="7">
        <v>12299.0</v>
      </c>
    </row>
    <row r="258" ht="14.25" customHeight="1">
      <c r="A258" s="20">
        <v>43967.0</v>
      </c>
      <c r="B258" s="7" t="s">
        <v>21</v>
      </c>
      <c r="C258" s="7">
        <v>60.0</v>
      </c>
      <c r="D258" s="7">
        <v>14049.0</v>
      </c>
      <c r="E258" s="7">
        <v>13118.0</v>
      </c>
    </row>
    <row r="259" ht="14.25" customHeight="1">
      <c r="A259" s="20">
        <v>43967.0</v>
      </c>
      <c r="B259" s="7" t="s">
        <v>13</v>
      </c>
      <c r="C259" s="7">
        <v>19.0</v>
      </c>
      <c r="D259" s="7">
        <v>2080.0</v>
      </c>
      <c r="E259" s="7">
        <v>1844.0</v>
      </c>
    </row>
    <row r="260" ht="14.25" customHeight="1">
      <c r="A260" s="20">
        <v>43967.0</v>
      </c>
      <c r="B260" s="7" t="s">
        <v>23</v>
      </c>
      <c r="C260" s="7">
        <v>16.0</v>
      </c>
      <c r="D260" s="7">
        <v>920.0</v>
      </c>
      <c r="E260" s="7">
        <v>818.0</v>
      </c>
    </row>
    <row r="261" ht="14.25" customHeight="1">
      <c r="A261" s="20">
        <v>43967.0</v>
      </c>
      <c r="B261" s="7" t="s">
        <v>18</v>
      </c>
      <c r="C261" s="7">
        <v>15.0</v>
      </c>
      <c r="D261" s="7">
        <v>1111.0</v>
      </c>
      <c r="E261" s="7">
        <v>992.0</v>
      </c>
    </row>
    <row r="262" ht="14.25" customHeight="1">
      <c r="A262" s="20">
        <v>43967.0</v>
      </c>
      <c r="B262" s="7" t="s">
        <v>19</v>
      </c>
      <c r="C262" s="7">
        <v>15.0</v>
      </c>
      <c r="D262" s="7">
        <v>747.0</v>
      </c>
      <c r="E262" s="7">
        <v>647.0</v>
      </c>
    </row>
    <row r="263" ht="14.25" customHeight="1">
      <c r="A263" s="20">
        <v>43967.0</v>
      </c>
      <c r="B263" s="7" t="s">
        <v>15</v>
      </c>
      <c r="C263" s="7">
        <v>125.0</v>
      </c>
      <c r="D263" s="7">
        <v>22291.0</v>
      </c>
      <c r="E263" s="7">
        <v>20635.0</v>
      </c>
    </row>
    <row r="264" ht="14.25" customHeight="1">
      <c r="A264" s="20">
        <v>43967.0</v>
      </c>
      <c r="B264" s="7" t="s">
        <v>14</v>
      </c>
      <c r="C264" s="7">
        <v>129.0</v>
      </c>
      <c r="D264" s="7">
        <v>17914.0</v>
      </c>
      <c r="E264" s="7">
        <v>16631.0</v>
      </c>
    </row>
    <row r="265" ht="14.25" customHeight="1">
      <c r="A265" s="20">
        <v>43967.0</v>
      </c>
      <c r="B265" s="7" t="s">
        <v>12</v>
      </c>
      <c r="C265" s="7">
        <v>10.0</v>
      </c>
      <c r="D265" s="7">
        <v>760.0</v>
      </c>
      <c r="E265" s="7">
        <v>672.0</v>
      </c>
    </row>
    <row r="266" ht="14.25" customHeight="1">
      <c r="A266" s="20">
        <v>43968.0</v>
      </c>
      <c r="B266" s="7" t="s">
        <v>16</v>
      </c>
      <c r="C266" s="7">
        <v>36.0</v>
      </c>
      <c r="D266" s="7">
        <v>4918.0</v>
      </c>
      <c r="E266" s="7">
        <v>4554.0</v>
      </c>
    </row>
    <row r="267" ht="14.25" customHeight="1">
      <c r="A267" s="20">
        <v>43968.0</v>
      </c>
      <c r="B267" s="7" t="s">
        <v>11</v>
      </c>
      <c r="C267" s="7">
        <v>31.0</v>
      </c>
      <c r="D267" s="7">
        <v>5206.0</v>
      </c>
      <c r="E267" s="7">
        <v>4843.0</v>
      </c>
    </row>
    <row r="268" ht="14.25" customHeight="1">
      <c r="A268" s="20">
        <v>43968.0</v>
      </c>
      <c r="B268" s="7" t="s">
        <v>17</v>
      </c>
      <c r="C268" s="7">
        <v>21.0</v>
      </c>
      <c r="D268" s="7">
        <v>2054.0</v>
      </c>
      <c r="E268" s="7">
        <v>1883.0</v>
      </c>
    </row>
    <row r="269" ht="14.25" customHeight="1">
      <c r="A269" s="20">
        <v>43968.0</v>
      </c>
      <c r="B269" s="7" t="s">
        <v>10</v>
      </c>
      <c r="C269" s="7">
        <v>21.0</v>
      </c>
      <c r="D269" s="7">
        <v>1874.0</v>
      </c>
      <c r="E269" s="7">
        <v>1705.0</v>
      </c>
    </row>
    <row r="270" ht="14.25" customHeight="1">
      <c r="A270" s="20">
        <v>43968.0</v>
      </c>
      <c r="B270" s="7" t="s">
        <v>20</v>
      </c>
      <c r="C270" s="7">
        <v>19.0</v>
      </c>
      <c r="D270" s="7">
        <v>1790.0</v>
      </c>
      <c r="E270" s="7">
        <v>1633.0</v>
      </c>
    </row>
    <row r="271" ht="14.25" customHeight="1">
      <c r="A271" s="20">
        <v>43968.0</v>
      </c>
      <c r="B271" s="7" t="s">
        <v>22</v>
      </c>
      <c r="C271" s="7">
        <v>54.0</v>
      </c>
      <c r="D271" s="7">
        <v>11128.0</v>
      </c>
      <c r="E271" s="7">
        <v>10467.0</v>
      </c>
    </row>
    <row r="272" ht="14.25" customHeight="1">
      <c r="A272" s="20">
        <v>43968.0</v>
      </c>
      <c r="B272" s="7" t="s">
        <v>21</v>
      </c>
      <c r="C272" s="7">
        <v>60.0</v>
      </c>
      <c r="D272" s="7">
        <v>11698.0</v>
      </c>
      <c r="E272" s="7">
        <v>10989.0</v>
      </c>
    </row>
    <row r="273" ht="14.25" customHeight="1">
      <c r="A273" s="20">
        <v>43968.0</v>
      </c>
      <c r="B273" s="7" t="s">
        <v>13</v>
      </c>
      <c r="C273" s="7">
        <v>19.0</v>
      </c>
      <c r="D273" s="7">
        <v>1871.0</v>
      </c>
      <c r="E273" s="7">
        <v>1660.0</v>
      </c>
    </row>
    <row r="274" ht="14.25" customHeight="1">
      <c r="A274" s="20">
        <v>43968.0</v>
      </c>
      <c r="B274" s="7" t="s">
        <v>23</v>
      </c>
      <c r="C274" s="7">
        <v>16.0</v>
      </c>
      <c r="D274" s="7">
        <v>859.0</v>
      </c>
      <c r="E274" s="7">
        <v>746.0</v>
      </c>
    </row>
    <row r="275" ht="14.25" customHeight="1">
      <c r="A275" s="20">
        <v>43968.0</v>
      </c>
      <c r="B275" s="7" t="s">
        <v>18</v>
      </c>
      <c r="C275" s="7">
        <v>15.0</v>
      </c>
      <c r="D275" s="7">
        <v>971.0</v>
      </c>
      <c r="E275" s="7">
        <v>856.0</v>
      </c>
    </row>
    <row r="276" ht="14.25" customHeight="1">
      <c r="A276" s="20">
        <v>43968.0</v>
      </c>
      <c r="B276" s="7" t="s">
        <v>19</v>
      </c>
      <c r="C276" s="7">
        <v>15.0</v>
      </c>
      <c r="D276" s="7">
        <v>692.0</v>
      </c>
      <c r="E276" s="7">
        <v>591.0</v>
      </c>
    </row>
    <row r="277" ht="14.25" customHeight="1">
      <c r="A277" s="20">
        <v>43968.0</v>
      </c>
      <c r="B277" s="7" t="s">
        <v>15</v>
      </c>
      <c r="C277" s="7">
        <v>125.0</v>
      </c>
      <c r="D277" s="7">
        <v>20079.0</v>
      </c>
      <c r="E277" s="7">
        <v>18721.0</v>
      </c>
    </row>
    <row r="278" ht="14.25" customHeight="1">
      <c r="A278" s="20">
        <v>43968.0</v>
      </c>
      <c r="B278" s="7" t="s">
        <v>14</v>
      </c>
      <c r="C278" s="7">
        <v>129.0</v>
      </c>
      <c r="D278" s="7">
        <v>15744.0</v>
      </c>
      <c r="E278" s="7">
        <v>14685.0</v>
      </c>
    </row>
    <row r="279" ht="14.25" customHeight="1">
      <c r="A279" s="20">
        <v>43968.0</v>
      </c>
      <c r="B279" s="7" t="s">
        <v>12</v>
      </c>
      <c r="C279" s="7">
        <v>10.0</v>
      </c>
      <c r="D279" s="7">
        <v>591.0</v>
      </c>
      <c r="E279" s="7">
        <v>513.0</v>
      </c>
    </row>
    <row r="280" ht="14.25" customHeight="1">
      <c r="A280" s="20">
        <v>43969.0</v>
      </c>
      <c r="B280" s="7" t="s">
        <v>16</v>
      </c>
      <c r="C280" s="7">
        <v>36.0</v>
      </c>
      <c r="D280" s="7">
        <v>4885.0</v>
      </c>
      <c r="E280" s="7">
        <v>4502.0</v>
      </c>
    </row>
    <row r="281" ht="14.25" customHeight="1">
      <c r="A281" s="20">
        <v>43969.0</v>
      </c>
      <c r="B281" s="7" t="s">
        <v>11</v>
      </c>
      <c r="C281" s="7">
        <v>31.0</v>
      </c>
      <c r="D281" s="7">
        <v>5165.0</v>
      </c>
      <c r="E281" s="7">
        <v>4813.0</v>
      </c>
    </row>
    <row r="282" ht="14.25" customHeight="1">
      <c r="A282" s="20">
        <v>43969.0</v>
      </c>
      <c r="B282" s="7" t="s">
        <v>17</v>
      </c>
      <c r="C282" s="7">
        <v>21.0</v>
      </c>
      <c r="D282" s="7">
        <v>2136.0</v>
      </c>
      <c r="E282" s="7">
        <v>1947.0</v>
      </c>
    </row>
    <row r="283" ht="14.25" customHeight="1">
      <c r="A283" s="20">
        <v>43969.0</v>
      </c>
      <c r="B283" s="7" t="s">
        <v>10</v>
      </c>
      <c r="C283" s="7">
        <v>21.0</v>
      </c>
      <c r="D283" s="7">
        <v>1834.0</v>
      </c>
      <c r="E283" s="7">
        <v>1660.0</v>
      </c>
    </row>
    <row r="284" ht="14.25" customHeight="1">
      <c r="A284" s="20">
        <v>43969.0</v>
      </c>
      <c r="B284" s="7" t="s">
        <v>20</v>
      </c>
      <c r="C284" s="7">
        <v>19.0</v>
      </c>
      <c r="D284" s="7">
        <v>1741.0</v>
      </c>
      <c r="E284" s="7">
        <v>1597.0</v>
      </c>
    </row>
    <row r="285" ht="14.25" customHeight="1">
      <c r="A285" s="20">
        <v>43969.0</v>
      </c>
      <c r="B285" s="7" t="s">
        <v>22</v>
      </c>
      <c r="C285" s="7">
        <v>54.0</v>
      </c>
      <c r="D285" s="7">
        <v>12012.0</v>
      </c>
      <c r="E285" s="7">
        <v>11308.0</v>
      </c>
    </row>
    <row r="286" ht="14.25" customHeight="1">
      <c r="A286" s="20">
        <v>43969.0</v>
      </c>
      <c r="B286" s="7" t="s">
        <v>21</v>
      </c>
      <c r="C286" s="7">
        <v>60.0</v>
      </c>
      <c r="D286" s="7">
        <v>12460.0</v>
      </c>
      <c r="E286" s="7">
        <v>11665.0</v>
      </c>
    </row>
    <row r="287" ht="14.25" customHeight="1">
      <c r="A287" s="20">
        <v>43969.0</v>
      </c>
      <c r="B287" s="7" t="s">
        <v>13</v>
      </c>
      <c r="C287" s="7">
        <v>19.0</v>
      </c>
      <c r="D287" s="7">
        <v>1858.0</v>
      </c>
      <c r="E287" s="7">
        <v>1648.0</v>
      </c>
    </row>
    <row r="288" ht="14.25" customHeight="1">
      <c r="A288" s="20">
        <v>43969.0</v>
      </c>
      <c r="B288" s="7" t="s">
        <v>23</v>
      </c>
      <c r="C288" s="7">
        <v>16.0</v>
      </c>
      <c r="D288" s="7">
        <v>864.0</v>
      </c>
      <c r="E288" s="7">
        <v>765.0</v>
      </c>
    </row>
    <row r="289" ht="14.25" customHeight="1">
      <c r="A289" s="20">
        <v>43969.0</v>
      </c>
      <c r="B289" s="7" t="s">
        <v>18</v>
      </c>
      <c r="C289" s="7">
        <v>16.0</v>
      </c>
      <c r="D289" s="7">
        <v>925.0</v>
      </c>
      <c r="E289" s="7">
        <v>816.0</v>
      </c>
    </row>
    <row r="290" ht="14.25" customHeight="1">
      <c r="A290" s="20">
        <v>43969.0</v>
      </c>
      <c r="B290" s="7" t="s">
        <v>19</v>
      </c>
      <c r="C290" s="7">
        <v>15.0</v>
      </c>
      <c r="D290" s="7">
        <v>729.0</v>
      </c>
      <c r="E290" s="7">
        <v>636.0</v>
      </c>
    </row>
    <row r="291" ht="14.25" customHeight="1">
      <c r="A291" s="20">
        <v>43969.0</v>
      </c>
      <c r="B291" s="7" t="s">
        <v>15</v>
      </c>
      <c r="C291" s="7">
        <v>125.0</v>
      </c>
      <c r="D291" s="7">
        <v>20449.0</v>
      </c>
      <c r="E291" s="7">
        <v>19060.0</v>
      </c>
    </row>
    <row r="292" ht="14.25" customHeight="1">
      <c r="A292" s="20">
        <v>43969.0</v>
      </c>
      <c r="B292" s="7" t="s">
        <v>14</v>
      </c>
      <c r="C292" s="7">
        <v>129.0</v>
      </c>
      <c r="D292" s="7">
        <v>16110.0</v>
      </c>
      <c r="E292" s="7">
        <v>14992.0</v>
      </c>
    </row>
    <row r="293" ht="14.25" customHeight="1">
      <c r="A293" s="20">
        <v>43969.0</v>
      </c>
      <c r="B293" s="7" t="s">
        <v>12</v>
      </c>
      <c r="C293" s="7">
        <v>10.0</v>
      </c>
      <c r="D293" s="7">
        <v>645.0</v>
      </c>
      <c r="E293" s="7">
        <v>565.0</v>
      </c>
    </row>
    <row r="294" ht="14.25" customHeight="1">
      <c r="A294" s="20">
        <v>43970.0</v>
      </c>
      <c r="B294" s="7" t="s">
        <v>16</v>
      </c>
      <c r="C294" s="7">
        <v>36.0</v>
      </c>
      <c r="D294" s="7">
        <v>5094.0</v>
      </c>
      <c r="E294" s="7">
        <v>4716.0</v>
      </c>
    </row>
    <row r="295" ht="14.25" customHeight="1">
      <c r="A295" s="20">
        <v>43970.0</v>
      </c>
      <c r="B295" s="7" t="s">
        <v>11</v>
      </c>
      <c r="C295" s="7">
        <v>31.0</v>
      </c>
      <c r="D295" s="7">
        <v>5389.0</v>
      </c>
      <c r="E295" s="7">
        <v>5024.0</v>
      </c>
    </row>
    <row r="296" ht="14.25" customHeight="1">
      <c r="A296" s="20">
        <v>43970.0</v>
      </c>
      <c r="B296" s="7" t="s">
        <v>17</v>
      </c>
      <c r="C296" s="7">
        <v>21.0</v>
      </c>
      <c r="D296" s="7">
        <v>2245.0</v>
      </c>
      <c r="E296" s="7">
        <v>2053.0</v>
      </c>
    </row>
    <row r="297" ht="14.25" customHeight="1">
      <c r="A297" s="20">
        <v>43970.0</v>
      </c>
      <c r="B297" s="7" t="s">
        <v>10</v>
      </c>
      <c r="C297" s="7">
        <v>21.0</v>
      </c>
      <c r="D297" s="7">
        <v>1860.0</v>
      </c>
      <c r="E297" s="7">
        <v>1704.0</v>
      </c>
    </row>
    <row r="298" ht="14.25" customHeight="1">
      <c r="A298" s="20">
        <v>43970.0</v>
      </c>
      <c r="B298" s="7" t="s">
        <v>20</v>
      </c>
      <c r="C298" s="7">
        <v>19.0</v>
      </c>
      <c r="D298" s="7">
        <v>1831.0</v>
      </c>
      <c r="E298" s="7">
        <v>1667.0</v>
      </c>
    </row>
    <row r="299" ht="14.25" customHeight="1">
      <c r="A299" s="20">
        <v>43970.0</v>
      </c>
      <c r="B299" s="7" t="s">
        <v>22</v>
      </c>
      <c r="C299" s="7">
        <v>54.0</v>
      </c>
      <c r="D299" s="7">
        <v>13070.0</v>
      </c>
      <c r="E299" s="7">
        <v>12244.0</v>
      </c>
    </row>
    <row r="300" ht="14.25" customHeight="1">
      <c r="A300" s="20">
        <v>43970.0</v>
      </c>
      <c r="B300" s="7" t="s">
        <v>21</v>
      </c>
      <c r="C300" s="7">
        <v>60.0</v>
      </c>
      <c r="D300" s="7">
        <v>13867.0</v>
      </c>
      <c r="E300" s="7">
        <v>12987.0</v>
      </c>
    </row>
    <row r="301" ht="14.25" customHeight="1">
      <c r="A301" s="20">
        <v>43970.0</v>
      </c>
      <c r="B301" s="7" t="s">
        <v>13</v>
      </c>
      <c r="C301" s="7">
        <v>19.0</v>
      </c>
      <c r="D301" s="7">
        <v>1999.0</v>
      </c>
      <c r="E301" s="7">
        <v>1799.0</v>
      </c>
    </row>
    <row r="302" ht="14.25" customHeight="1">
      <c r="A302" s="20">
        <v>43970.0</v>
      </c>
      <c r="B302" s="7" t="s">
        <v>23</v>
      </c>
      <c r="C302" s="7">
        <v>17.0</v>
      </c>
      <c r="D302" s="7">
        <v>857.0</v>
      </c>
      <c r="E302" s="7">
        <v>757.0</v>
      </c>
    </row>
    <row r="303" ht="14.25" customHeight="1">
      <c r="A303" s="20">
        <v>43970.0</v>
      </c>
      <c r="B303" s="7" t="s">
        <v>18</v>
      </c>
      <c r="C303" s="7">
        <v>16.0</v>
      </c>
      <c r="D303" s="7">
        <v>1012.0</v>
      </c>
      <c r="E303" s="7">
        <v>900.0</v>
      </c>
    </row>
    <row r="304" ht="14.25" customHeight="1">
      <c r="A304" s="20">
        <v>43970.0</v>
      </c>
      <c r="B304" s="7" t="s">
        <v>19</v>
      </c>
      <c r="C304" s="7">
        <v>15.0</v>
      </c>
      <c r="D304" s="7">
        <v>930.0</v>
      </c>
      <c r="E304" s="7">
        <v>827.0</v>
      </c>
    </row>
    <row r="305" ht="14.25" customHeight="1">
      <c r="A305" s="20">
        <v>43970.0</v>
      </c>
      <c r="B305" s="7" t="s">
        <v>15</v>
      </c>
      <c r="C305" s="7">
        <v>125.0</v>
      </c>
      <c r="D305" s="7">
        <v>20771.0</v>
      </c>
      <c r="E305" s="7">
        <v>19338.0</v>
      </c>
    </row>
    <row r="306" ht="14.25" customHeight="1">
      <c r="A306" s="20">
        <v>43970.0</v>
      </c>
      <c r="B306" s="7" t="s">
        <v>14</v>
      </c>
      <c r="C306" s="7">
        <v>129.0</v>
      </c>
      <c r="D306" s="7">
        <v>16191.0</v>
      </c>
      <c r="E306" s="7">
        <v>15102.0</v>
      </c>
    </row>
    <row r="307" ht="14.25" customHeight="1">
      <c r="A307" s="20">
        <v>43970.0</v>
      </c>
      <c r="B307" s="7" t="s">
        <v>12</v>
      </c>
      <c r="C307" s="7">
        <v>10.0</v>
      </c>
      <c r="D307" s="7">
        <v>649.0</v>
      </c>
      <c r="E307" s="7">
        <v>568.0</v>
      </c>
    </row>
    <row r="308" ht="14.25" customHeight="1">
      <c r="A308" s="20">
        <v>43971.0</v>
      </c>
      <c r="B308" s="7" t="s">
        <v>16</v>
      </c>
      <c r="C308" s="7">
        <v>36.0</v>
      </c>
      <c r="D308" s="7">
        <v>5914.0</v>
      </c>
      <c r="E308" s="7">
        <v>5384.0</v>
      </c>
    </row>
    <row r="309" ht="14.25" customHeight="1">
      <c r="A309" s="20">
        <v>43971.0</v>
      </c>
      <c r="B309" s="7" t="s">
        <v>11</v>
      </c>
      <c r="C309" s="7">
        <v>31.0</v>
      </c>
      <c r="D309" s="7">
        <v>5698.0</v>
      </c>
      <c r="E309" s="7">
        <v>5258.0</v>
      </c>
    </row>
    <row r="310" ht="14.25" customHeight="1">
      <c r="A310" s="20">
        <v>43971.0</v>
      </c>
      <c r="B310" s="7" t="s">
        <v>17</v>
      </c>
      <c r="C310" s="7">
        <v>21.0</v>
      </c>
      <c r="D310" s="7">
        <v>2410.0</v>
      </c>
      <c r="E310" s="7">
        <v>2202.0</v>
      </c>
    </row>
    <row r="311" ht="14.25" customHeight="1">
      <c r="A311" s="20">
        <v>43971.0</v>
      </c>
      <c r="B311" s="7" t="s">
        <v>10</v>
      </c>
      <c r="C311" s="7">
        <v>21.0</v>
      </c>
      <c r="D311" s="7">
        <v>1921.0</v>
      </c>
      <c r="E311" s="7">
        <v>1767.0</v>
      </c>
    </row>
    <row r="312" ht="14.25" customHeight="1">
      <c r="A312" s="20">
        <v>43971.0</v>
      </c>
      <c r="B312" s="7" t="s">
        <v>20</v>
      </c>
      <c r="C312" s="7">
        <v>19.0</v>
      </c>
      <c r="D312" s="7">
        <v>1823.0</v>
      </c>
      <c r="E312" s="7">
        <v>1678.0</v>
      </c>
    </row>
    <row r="313" ht="14.25" customHeight="1">
      <c r="A313" s="20">
        <v>43971.0</v>
      </c>
      <c r="B313" s="7" t="s">
        <v>22</v>
      </c>
      <c r="C313" s="7">
        <v>54.0</v>
      </c>
      <c r="D313" s="7">
        <v>13298.0</v>
      </c>
      <c r="E313" s="7">
        <v>12428.0</v>
      </c>
    </row>
    <row r="314" ht="14.25" customHeight="1">
      <c r="A314" s="20">
        <v>43971.0</v>
      </c>
      <c r="B314" s="7" t="s">
        <v>21</v>
      </c>
      <c r="C314" s="7">
        <v>60.0</v>
      </c>
      <c r="D314" s="7">
        <v>13792.0</v>
      </c>
      <c r="E314" s="7">
        <v>12834.0</v>
      </c>
    </row>
    <row r="315" ht="14.25" customHeight="1">
      <c r="A315" s="20">
        <v>43971.0</v>
      </c>
      <c r="B315" s="7" t="s">
        <v>13</v>
      </c>
      <c r="C315" s="7">
        <v>19.0</v>
      </c>
      <c r="D315" s="7">
        <v>1889.0</v>
      </c>
      <c r="E315" s="7">
        <v>1690.0</v>
      </c>
    </row>
    <row r="316" ht="14.25" customHeight="1">
      <c r="A316" s="20">
        <v>43971.0</v>
      </c>
      <c r="B316" s="7" t="s">
        <v>23</v>
      </c>
      <c r="C316" s="7">
        <v>17.0</v>
      </c>
      <c r="D316" s="7">
        <v>890.0</v>
      </c>
      <c r="E316" s="7">
        <v>794.0</v>
      </c>
    </row>
    <row r="317" ht="14.25" customHeight="1">
      <c r="A317" s="20">
        <v>43971.0</v>
      </c>
      <c r="B317" s="7" t="s">
        <v>18</v>
      </c>
      <c r="C317" s="7">
        <v>16.0</v>
      </c>
      <c r="D317" s="7">
        <v>1050.0</v>
      </c>
      <c r="E317" s="7">
        <v>938.0</v>
      </c>
    </row>
    <row r="318" ht="14.25" customHeight="1">
      <c r="A318" s="20">
        <v>43971.0</v>
      </c>
      <c r="B318" s="7" t="s">
        <v>19</v>
      </c>
      <c r="C318" s="7">
        <v>15.0</v>
      </c>
      <c r="D318" s="7">
        <v>760.0</v>
      </c>
      <c r="E318" s="7">
        <v>664.0</v>
      </c>
    </row>
    <row r="319" ht="14.25" customHeight="1">
      <c r="A319" s="20">
        <v>43971.0</v>
      </c>
      <c r="B319" s="7" t="s">
        <v>15</v>
      </c>
      <c r="C319" s="7">
        <v>125.0</v>
      </c>
      <c r="D319" s="7">
        <v>21674.0</v>
      </c>
      <c r="E319" s="7">
        <v>20155.0</v>
      </c>
    </row>
    <row r="320" ht="14.25" customHeight="1">
      <c r="A320" s="20">
        <v>43971.0</v>
      </c>
      <c r="B320" s="7" t="s">
        <v>14</v>
      </c>
      <c r="C320" s="7">
        <v>129.0</v>
      </c>
      <c r="D320" s="7">
        <v>17095.0</v>
      </c>
      <c r="E320" s="7">
        <v>15919.0</v>
      </c>
    </row>
    <row r="321" ht="14.25" customHeight="1">
      <c r="A321" s="20">
        <v>43971.0</v>
      </c>
      <c r="B321" s="7" t="s">
        <v>12</v>
      </c>
      <c r="C321" s="7">
        <v>10.0</v>
      </c>
      <c r="D321" s="7">
        <v>745.0</v>
      </c>
      <c r="E321" s="7">
        <v>654.0</v>
      </c>
    </row>
    <row r="322" ht="14.25" customHeight="1">
      <c r="A322" s="20">
        <v>43972.0</v>
      </c>
      <c r="B322" s="7" t="s">
        <v>16</v>
      </c>
      <c r="C322" s="7">
        <v>36.0</v>
      </c>
      <c r="D322" s="7">
        <v>4816.0</v>
      </c>
      <c r="E322" s="7">
        <v>4452.0</v>
      </c>
    </row>
    <row r="323" ht="14.25" customHeight="1">
      <c r="A323" s="20">
        <v>43972.0</v>
      </c>
      <c r="B323" s="7" t="s">
        <v>11</v>
      </c>
      <c r="C323" s="7">
        <v>31.0</v>
      </c>
      <c r="D323" s="7">
        <v>5207.0</v>
      </c>
      <c r="E323" s="7">
        <v>4868.0</v>
      </c>
    </row>
    <row r="324" ht="14.25" customHeight="1">
      <c r="A324" s="20">
        <v>43972.0</v>
      </c>
      <c r="B324" s="7" t="s">
        <v>17</v>
      </c>
      <c r="C324" s="7">
        <v>21.0</v>
      </c>
      <c r="D324" s="7">
        <v>2335.0</v>
      </c>
      <c r="E324" s="7">
        <v>2126.0</v>
      </c>
    </row>
    <row r="325" ht="14.25" customHeight="1">
      <c r="A325" s="20">
        <v>43972.0</v>
      </c>
      <c r="B325" s="7" t="s">
        <v>10</v>
      </c>
      <c r="C325" s="7">
        <v>21.0</v>
      </c>
      <c r="D325" s="7">
        <v>1787.0</v>
      </c>
      <c r="E325" s="7">
        <v>1626.0</v>
      </c>
    </row>
    <row r="326" ht="14.25" customHeight="1">
      <c r="A326" s="20">
        <v>43972.0</v>
      </c>
      <c r="B326" s="7" t="s">
        <v>20</v>
      </c>
      <c r="C326" s="7">
        <v>19.0</v>
      </c>
      <c r="D326" s="7">
        <v>1650.0</v>
      </c>
      <c r="E326" s="7">
        <v>1505.0</v>
      </c>
    </row>
    <row r="327" ht="14.25" customHeight="1">
      <c r="A327" s="20">
        <v>43972.0</v>
      </c>
      <c r="B327" s="7" t="s">
        <v>22</v>
      </c>
      <c r="C327" s="7">
        <v>54.0</v>
      </c>
      <c r="D327" s="7">
        <v>13240.0</v>
      </c>
      <c r="E327" s="7">
        <v>12360.0</v>
      </c>
    </row>
    <row r="328" ht="14.25" customHeight="1">
      <c r="A328" s="20">
        <v>43972.0</v>
      </c>
      <c r="B328" s="7" t="s">
        <v>21</v>
      </c>
      <c r="C328" s="7">
        <v>60.0</v>
      </c>
      <c r="D328" s="7">
        <v>14005.0</v>
      </c>
      <c r="E328" s="7">
        <v>13002.0</v>
      </c>
    </row>
    <row r="329" ht="14.25" customHeight="1">
      <c r="A329" s="20">
        <v>43972.0</v>
      </c>
      <c r="B329" s="7" t="s">
        <v>13</v>
      </c>
      <c r="C329" s="7">
        <v>19.0</v>
      </c>
      <c r="D329" s="7">
        <v>1949.0</v>
      </c>
      <c r="E329" s="7">
        <v>1724.0</v>
      </c>
    </row>
    <row r="330" ht="14.25" customHeight="1">
      <c r="A330" s="20">
        <v>43972.0</v>
      </c>
      <c r="B330" s="7" t="s">
        <v>23</v>
      </c>
      <c r="C330" s="7">
        <v>18.0</v>
      </c>
      <c r="D330" s="7">
        <v>888.0</v>
      </c>
      <c r="E330" s="7">
        <v>786.0</v>
      </c>
    </row>
    <row r="331" ht="14.25" customHeight="1">
      <c r="A331" s="20">
        <v>43972.0</v>
      </c>
      <c r="B331" s="7" t="s">
        <v>18</v>
      </c>
      <c r="C331" s="7">
        <v>17.0</v>
      </c>
      <c r="D331" s="7">
        <v>1045.0</v>
      </c>
      <c r="E331" s="7">
        <v>930.0</v>
      </c>
    </row>
    <row r="332" ht="14.25" customHeight="1">
      <c r="A332" s="20">
        <v>43972.0</v>
      </c>
      <c r="B332" s="7" t="s">
        <v>19</v>
      </c>
      <c r="C332" s="7">
        <v>15.0</v>
      </c>
      <c r="D332" s="7">
        <v>749.0</v>
      </c>
      <c r="E332" s="7">
        <v>652.0</v>
      </c>
    </row>
    <row r="333" ht="14.25" customHeight="1">
      <c r="A333" s="20">
        <v>43972.0</v>
      </c>
      <c r="B333" s="7" t="s">
        <v>15</v>
      </c>
      <c r="C333" s="7">
        <v>125.0</v>
      </c>
      <c r="D333" s="7">
        <v>20911.0</v>
      </c>
      <c r="E333" s="7">
        <v>19358.0</v>
      </c>
    </row>
    <row r="334" ht="14.25" customHeight="1">
      <c r="A334" s="20">
        <v>43972.0</v>
      </c>
      <c r="B334" s="7" t="s">
        <v>14</v>
      </c>
      <c r="C334" s="7">
        <v>129.0</v>
      </c>
      <c r="D334" s="7">
        <v>16373.0</v>
      </c>
      <c r="E334" s="7">
        <v>15223.0</v>
      </c>
    </row>
    <row r="335" ht="14.25" customHeight="1">
      <c r="A335" s="20">
        <v>43972.0</v>
      </c>
      <c r="B335" s="7" t="s">
        <v>12</v>
      </c>
      <c r="C335" s="7">
        <v>10.0</v>
      </c>
      <c r="D335" s="7">
        <v>677.0</v>
      </c>
      <c r="E335" s="7">
        <v>591.0</v>
      </c>
    </row>
    <row r="336" ht="14.25" customHeight="1">
      <c r="A336" s="20">
        <v>43973.0</v>
      </c>
      <c r="B336" s="7" t="s">
        <v>16</v>
      </c>
      <c r="C336" s="7">
        <v>36.0</v>
      </c>
      <c r="D336" s="7">
        <v>4857.0</v>
      </c>
      <c r="E336" s="7">
        <v>4456.0</v>
      </c>
    </row>
    <row r="337" ht="14.25" customHeight="1">
      <c r="A337" s="20">
        <v>43973.0</v>
      </c>
      <c r="B337" s="7" t="s">
        <v>11</v>
      </c>
      <c r="C337" s="7">
        <v>31.0</v>
      </c>
      <c r="D337" s="7">
        <v>5965.0</v>
      </c>
      <c r="E337" s="7">
        <v>5533.0</v>
      </c>
    </row>
    <row r="338" ht="14.25" customHeight="1">
      <c r="A338" s="20">
        <v>43973.0</v>
      </c>
      <c r="B338" s="7" t="s">
        <v>17</v>
      </c>
      <c r="C338" s="7">
        <v>21.0</v>
      </c>
      <c r="D338" s="7">
        <v>2861.0</v>
      </c>
      <c r="E338" s="7">
        <v>2612.0</v>
      </c>
    </row>
    <row r="339" ht="14.25" customHeight="1">
      <c r="A339" s="20">
        <v>43973.0</v>
      </c>
      <c r="B339" s="7" t="s">
        <v>10</v>
      </c>
      <c r="C339" s="7">
        <v>21.0</v>
      </c>
      <c r="D339" s="7">
        <v>2046.0</v>
      </c>
      <c r="E339" s="7">
        <v>1853.0</v>
      </c>
    </row>
    <row r="340" ht="14.25" customHeight="1">
      <c r="A340" s="20">
        <v>43973.0</v>
      </c>
      <c r="B340" s="7" t="s">
        <v>20</v>
      </c>
      <c r="C340" s="7">
        <v>19.0</v>
      </c>
      <c r="D340" s="7">
        <v>1859.0</v>
      </c>
      <c r="E340" s="7">
        <v>1697.0</v>
      </c>
    </row>
    <row r="341" ht="14.25" customHeight="1">
      <c r="A341" s="20">
        <v>43973.0</v>
      </c>
      <c r="B341" s="7" t="s">
        <v>22</v>
      </c>
      <c r="C341" s="7">
        <v>54.0</v>
      </c>
      <c r="D341" s="7">
        <v>13014.0</v>
      </c>
      <c r="E341" s="7">
        <v>12095.0</v>
      </c>
    </row>
    <row r="342" ht="14.25" customHeight="1">
      <c r="A342" s="20">
        <v>43973.0</v>
      </c>
      <c r="B342" s="7" t="s">
        <v>21</v>
      </c>
      <c r="C342" s="7">
        <v>60.0</v>
      </c>
      <c r="D342" s="7">
        <v>14050.0</v>
      </c>
      <c r="E342" s="7">
        <v>13027.0</v>
      </c>
    </row>
    <row r="343" ht="14.25" customHeight="1">
      <c r="A343" s="20">
        <v>43973.0</v>
      </c>
      <c r="B343" s="7" t="s">
        <v>13</v>
      </c>
      <c r="C343" s="7">
        <v>20.0</v>
      </c>
      <c r="D343" s="7">
        <v>2306.0</v>
      </c>
      <c r="E343" s="7">
        <v>2054.0</v>
      </c>
    </row>
    <row r="344" ht="14.25" customHeight="1">
      <c r="A344" s="20">
        <v>43973.0</v>
      </c>
      <c r="B344" s="7" t="s">
        <v>23</v>
      </c>
      <c r="C344" s="7">
        <v>18.0</v>
      </c>
      <c r="D344" s="7">
        <v>985.0</v>
      </c>
      <c r="E344" s="7">
        <v>861.0</v>
      </c>
    </row>
    <row r="345" ht="14.25" customHeight="1">
      <c r="A345" s="20">
        <v>43973.0</v>
      </c>
      <c r="B345" s="7" t="s">
        <v>18</v>
      </c>
      <c r="C345" s="7">
        <v>17.0</v>
      </c>
      <c r="D345" s="7">
        <v>1268.0</v>
      </c>
      <c r="E345" s="7">
        <v>1129.0</v>
      </c>
    </row>
    <row r="346" ht="14.25" customHeight="1">
      <c r="A346" s="20">
        <v>43973.0</v>
      </c>
      <c r="B346" s="7" t="s">
        <v>19</v>
      </c>
      <c r="C346" s="7">
        <v>15.0</v>
      </c>
      <c r="D346" s="7">
        <v>903.0</v>
      </c>
      <c r="E346" s="7">
        <v>792.0</v>
      </c>
    </row>
    <row r="347" ht="14.25" customHeight="1">
      <c r="A347" s="20">
        <v>43973.0</v>
      </c>
      <c r="B347" s="7" t="s">
        <v>15</v>
      </c>
      <c r="C347" s="7">
        <v>125.0</v>
      </c>
      <c r="D347" s="7">
        <v>21427.0</v>
      </c>
      <c r="E347" s="7">
        <v>19799.0</v>
      </c>
    </row>
    <row r="348" ht="14.25" customHeight="1">
      <c r="A348" s="20">
        <v>43973.0</v>
      </c>
      <c r="B348" s="7" t="s">
        <v>14</v>
      </c>
      <c r="C348" s="7">
        <v>129.0</v>
      </c>
      <c r="D348" s="7">
        <v>17088.0</v>
      </c>
      <c r="E348" s="7">
        <v>15804.0</v>
      </c>
    </row>
    <row r="349" ht="14.25" customHeight="1">
      <c r="A349" s="20">
        <v>43973.0</v>
      </c>
      <c r="B349" s="7" t="s">
        <v>12</v>
      </c>
      <c r="C349" s="7">
        <v>10.0</v>
      </c>
      <c r="D349" s="7">
        <v>965.0</v>
      </c>
      <c r="E349" s="7">
        <v>861.0</v>
      </c>
    </row>
    <row r="350" ht="14.25" customHeight="1">
      <c r="A350" s="20">
        <v>43974.0</v>
      </c>
      <c r="B350" s="7" t="s">
        <v>16</v>
      </c>
      <c r="C350" s="7">
        <v>36.0</v>
      </c>
      <c r="D350" s="7">
        <v>5651.0</v>
      </c>
      <c r="E350" s="7">
        <v>5212.0</v>
      </c>
    </row>
    <row r="351" ht="14.25" customHeight="1">
      <c r="A351" s="20">
        <v>43974.0</v>
      </c>
      <c r="B351" s="7" t="s">
        <v>11</v>
      </c>
      <c r="C351" s="7">
        <v>31.0</v>
      </c>
      <c r="D351" s="7">
        <v>6276.0</v>
      </c>
      <c r="E351" s="7">
        <v>5801.0</v>
      </c>
    </row>
    <row r="352" ht="14.25" customHeight="1">
      <c r="A352" s="20">
        <v>43974.0</v>
      </c>
      <c r="B352" s="7" t="s">
        <v>17</v>
      </c>
      <c r="C352" s="7">
        <v>21.0</v>
      </c>
      <c r="D352" s="7">
        <v>2460.0</v>
      </c>
      <c r="E352" s="7">
        <v>2226.0</v>
      </c>
    </row>
    <row r="353" ht="14.25" customHeight="1">
      <c r="A353" s="20">
        <v>43974.0</v>
      </c>
      <c r="B353" s="7" t="s">
        <v>10</v>
      </c>
      <c r="C353" s="7">
        <v>21.0</v>
      </c>
      <c r="D353" s="7">
        <v>2340.0</v>
      </c>
      <c r="E353" s="7">
        <v>2146.0</v>
      </c>
    </row>
    <row r="354" ht="14.25" customHeight="1">
      <c r="A354" s="20">
        <v>43974.0</v>
      </c>
      <c r="B354" s="7" t="s">
        <v>20</v>
      </c>
      <c r="C354" s="7">
        <v>19.0</v>
      </c>
      <c r="D354" s="7">
        <v>2195.0</v>
      </c>
      <c r="E354" s="7">
        <v>1999.0</v>
      </c>
    </row>
    <row r="355" ht="14.25" customHeight="1">
      <c r="A355" s="20">
        <v>43974.0</v>
      </c>
      <c r="B355" s="7" t="s">
        <v>22</v>
      </c>
      <c r="C355" s="7">
        <v>54.0</v>
      </c>
      <c r="D355" s="7">
        <v>16221.0</v>
      </c>
      <c r="E355" s="7">
        <v>15065.0</v>
      </c>
    </row>
    <row r="356" ht="14.25" customHeight="1">
      <c r="A356" s="20">
        <v>43974.0</v>
      </c>
      <c r="B356" s="7" t="s">
        <v>21</v>
      </c>
      <c r="C356" s="7">
        <v>60.0</v>
      </c>
      <c r="D356" s="7">
        <v>17295.0</v>
      </c>
      <c r="E356" s="7">
        <v>16010.0</v>
      </c>
    </row>
    <row r="357" ht="14.25" customHeight="1">
      <c r="A357" s="20">
        <v>43974.0</v>
      </c>
      <c r="B357" s="7" t="s">
        <v>13</v>
      </c>
      <c r="C357" s="7">
        <v>20.0</v>
      </c>
      <c r="D357" s="7">
        <v>2266.0</v>
      </c>
      <c r="E357" s="7">
        <v>1993.0</v>
      </c>
    </row>
    <row r="358" ht="14.25" customHeight="1">
      <c r="A358" s="20">
        <v>43974.0</v>
      </c>
      <c r="B358" s="7" t="s">
        <v>23</v>
      </c>
      <c r="C358" s="7">
        <v>18.0</v>
      </c>
      <c r="D358" s="7">
        <v>1031.0</v>
      </c>
      <c r="E358" s="7">
        <v>918.0</v>
      </c>
    </row>
    <row r="359" ht="14.25" customHeight="1">
      <c r="A359" s="20">
        <v>43974.0</v>
      </c>
      <c r="B359" s="7" t="s">
        <v>18</v>
      </c>
      <c r="C359" s="7">
        <v>17.0</v>
      </c>
      <c r="D359" s="7">
        <v>1294.0</v>
      </c>
      <c r="E359" s="7">
        <v>1155.0</v>
      </c>
    </row>
    <row r="360" ht="14.25" customHeight="1">
      <c r="A360" s="20">
        <v>43974.0</v>
      </c>
      <c r="B360" s="7" t="s">
        <v>19</v>
      </c>
      <c r="C360" s="7">
        <v>15.0</v>
      </c>
      <c r="D360" s="7">
        <v>840.0</v>
      </c>
      <c r="E360" s="7">
        <v>725.0</v>
      </c>
    </row>
    <row r="361" ht="14.25" customHeight="1">
      <c r="A361" s="20">
        <v>43974.0</v>
      </c>
      <c r="B361" s="7" t="s">
        <v>15</v>
      </c>
      <c r="C361" s="7">
        <v>125.0</v>
      </c>
      <c r="D361" s="7">
        <v>24574.0</v>
      </c>
      <c r="E361" s="7">
        <v>22609.0</v>
      </c>
    </row>
    <row r="362" ht="14.25" customHeight="1">
      <c r="A362" s="20">
        <v>43974.0</v>
      </c>
      <c r="B362" s="7" t="s">
        <v>14</v>
      </c>
      <c r="C362" s="7">
        <v>129.0</v>
      </c>
      <c r="D362" s="7">
        <v>19856.0</v>
      </c>
      <c r="E362" s="7">
        <v>18325.0</v>
      </c>
    </row>
    <row r="363" ht="14.25" customHeight="1">
      <c r="A363" s="20">
        <v>43974.0</v>
      </c>
      <c r="B363" s="7" t="s">
        <v>12</v>
      </c>
      <c r="C363" s="7">
        <v>10.0</v>
      </c>
      <c r="D363" s="7">
        <v>828.0</v>
      </c>
      <c r="E363" s="7">
        <v>734.0</v>
      </c>
    </row>
    <row r="364" ht="14.25" customHeight="1">
      <c r="A364" s="20">
        <v>43975.0</v>
      </c>
      <c r="B364" s="7" t="s">
        <v>16</v>
      </c>
      <c r="C364" s="7">
        <v>36.0</v>
      </c>
      <c r="D364" s="7">
        <v>4915.0</v>
      </c>
      <c r="E364" s="7">
        <v>4562.0</v>
      </c>
    </row>
    <row r="365" ht="14.25" customHeight="1">
      <c r="A365" s="20">
        <v>43975.0</v>
      </c>
      <c r="B365" s="7" t="s">
        <v>11</v>
      </c>
      <c r="C365" s="7">
        <v>31.0</v>
      </c>
      <c r="D365" s="7">
        <v>5035.0</v>
      </c>
      <c r="E365" s="7">
        <v>4683.0</v>
      </c>
    </row>
    <row r="366" ht="14.25" customHeight="1">
      <c r="A366" s="20">
        <v>43975.0</v>
      </c>
      <c r="B366" s="7" t="s">
        <v>17</v>
      </c>
      <c r="C366" s="7">
        <v>21.0</v>
      </c>
      <c r="D366" s="7">
        <v>2254.0</v>
      </c>
      <c r="E366" s="7">
        <v>2061.0</v>
      </c>
    </row>
    <row r="367" ht="14.25" customHeight="1">
      <c r="A367" s="20">
        <v>43975.0</v>
      </c>
      <c r="B367" s="7" t="s">
        <v>10</v>
      </c>
      <c r="C367" s="7">
        <v>20.0</v>
      </c>
      <c r="D367" s="7">
        <v>1999.0</v>
      </c>
      <c r="E367" s="7">
        <v>1829.0</v>
      </c>
    </row>
    <row r="368" ht="14.25" customHeight="1">
      <c r="A368" s="20">
        <v>43975.0</v>
      </c>
      <c r="B368" s="7" t="s">
        <v>20</v>
      </c>
      <c r="C368" s="7">
        <v>19.0</v>
      </c>
      <c r="D368" s="7">
        <v>1868.0</v>
      </c>
      <c r="E368" s="7">
        <v>1706.0</v>
      </c>
    </row>
    <row r="369" ht="14.25" customHeight="1">
      <c r="A369" s="20">
        <v>43975.0</v>
      </c>
      <c r="B369" s="7" t="s">
        <v>22</v>
      </c>
      <c r="C369" s="7">
        <v>54.0</v>
      </c>
      <c r="D369" s="7">
        <v>12211.0</v>
      </c>
      <c r="E369" s="7">
        <v>11427.0</v>
      </c>
    </row>
    <row r="370" ht="14.25" customHeight="1">
      <c r="A370" s="20">
        <v>43975.0</v>
      </c>
      <c r="B370" s="7" t="s">
        <v>21</v>
      </c>
      <c r="C370" s="7">
        <v>60.0</v>
      </c>
      <c r="D370" s="7">
        <v>12822.0</v>
      </c>
      <c r="E370" s="7">
        <v>11916.0</v>
      </c>
    </row>
    <row r="371" ht="14.25" customHeight="1">
      <c r="A371" s="20">
        <v>43975.0</v>
      </c>
      <c r="B371" s="7" t="s">
        <v>13</v>
      </c>
      <c r="C371" s="7">
        <v>20.0</v>
      </c>
      <c r="D371" s="7">
        <v>2015.0</v>
      </c>
      <c r="E371" s="7">
        <v>1803.0</v>
      </c>
    </row>
    <row r="372" ht="14.25" customHeight="1">
      <c r="A372" s="20">
        <v>43975.0</v>
      </c>
      <c r="B372" s="7" t="s">
        <v>23</v>
      </c>
      <c r="C372" s="7">
        <v>18.0</v>
      </c>
      <c r="D372" s="7">
        <v>1006.0</v>
      </c>
      <c r="E372" s="7">
        <v>904.0</v>
      </c>
    </row>
    <row r="373" ht="14.25" customHeight="1">
      <c r="A373" s="20">
        <v>43975.0</v>
      </c>
      <c r="B373" s="7" t="s">
        <v>18</v>
      </c>
      <c r="C373" s="7">
        <v>17.0</v>
      </c>
      <c r="D373" s="7">
        <v>1128.0</v>
      </c>
      <c r="E373" s="7">
        <v>1001.0</v>
      </c>
    </row>
    <row r="374" ht="14.25" customHeight="1">
      <c r="A374" s="20">
        <v>43975.0</v>
      </c>
      <c r="B374" s="7" t="s">
        <v>19</v>
      </c>
      <c r="C374" s="7">
        <v>15.0</v>
      </c>
      <c r="D374" s="7">
        <v>779.0</v>
      </c>
      <c r="E374" s="7">
        <v>673.0</v>
      </c>
    </row>
    <row r="375" ht="14.25" customHeight="1">
      <c r="A375" s="20">
        <v>43975.0</v>
      </c>
      <c r="B375" s="7" t="s">
        <v>15</v>
      </c>
      <c r="C375" s="7">
        <v>125.0</v>
      </c>
      <c r="D375" s="7">
        <v>21004.0</v>
      </c>
      <c r="E375" s="7">
        <v>19556.0</v>
      </c>
    </row>
    <row r="376" ht="14.25" customHeight="1">
      <c r="A376" s="20">
        <v>43975.0</v>
      </c>
      <c r="B376" s="7" t="s">
        <v>14</v>
      </c>
      <c r="C376" s="7">
        <v>129.0</v>
      </c>
      <c r="D376" s="7">
        <v>16432.0</v>
      </c>
      <c r="E376" s="7">
        <v>15345.0</v>
      </c>
    </row>
    <row r="377" ht="14.25" customHeight="1">
      <c r="A377" s="20">
        <v>43975.0</v>
      </c>
      <c r="B377" s="7" t="s">
        <v>12</v>
      </c>
      <c r="C377" s="7">
        <v>10.0</v>
      </c>
      <c r="D377" s="7">
        <v>639.0</v>
      </c>
      <c r="E377" s="7">
        <v>557.0</v>
      </c>
    </row>
    <row r="378" ht="14.25" customHeight="1">
      <c r="A378" s="20">
        <v>43976.0</v>
      </c>
      <c r="B378" s="7" t="s">
        <v>16</v>
      </c>
      <c r="C378" s="7">
        <v>36.0</v>
      </c>
      <c r="D378" s="7">
        <v>4641.0</v>
      </c>
      <c r="E378" s="7">
        <v>4274.0</v>
      </c>
    </row>
    <row r="379" ht="14.25" customHeight="1">
      <c r="A379" s="20">
        <v>43976.0</v>
      </c>
      <c r="B379" s="7" t="s">
        <v>11</v>
      </c>
      <c r="C379" s="7">
        <v>31.0</v>
      </c>
      <c r="D379" s="7">
        <v>5210.0</v>
      </c>
      <c r="E379" s="7">
        <v>4841.0</v>
      </c>
    </row>
    <row r="380" ht="14.25" customHeight="1">
      <c r="A380" s="20">
        <v>43976.0</v>
      </c>
      <c r="B380" s="7" t="s">
        <v>17</v>
      </c>
      <c r="C380" s="7">
        <v>21.0</v>
      </c>
      <c r="D380" s="7">
        <v>2330.0</v>
      </c>
      <c r="E380" s="7">
        <v>2142.0</v>
      </c>
    </row>
    <row r="381" ht="14.25" customHeight="1">
      <c r="A381" s="20">
        <v>43976.0</v>
      </c>
      <c r="B381" s="7" t="s">
        <v>10</v>
      </c>
      <c r="C381" s="7">
        <v>20.0</v>
      </c>
      <c r="D381" s="7">
        <v>2087.0</v>
      </c>
      <c r="E381" s="7">
        <v>1914.0</v>
      </c>
    </row>
    <row r="382" ht="14.25" customHeight="1">
      <c r="A382" s="20">
        <v>43976.0</v>
      </c>
      <c r="B382" s="7" t="s">
        <v>20</v>
      </c>
      <c r="C382" s="7">
        <v>20.0</v>
      </c>
      <c r="D382" s="7">
        <v>1899.0</v>
      </c>
      <c r="E382" s="7">
        <v>1738.0</v>
      </c>
    </row>
    <row r="383" ht="14.25" customHeight="1">
      <c r="A383" s="20">
        <v>43976.0</v>
      </c>
      <c r="B383" s="7" t="s">
        <v>22</v>
      </c>
      <c r="C383" s="7">
        <v>54.0</v>
      </c>
      <c r="D383" s="7">
        <v>12336.0</v>
      </c>
      <c r="E383" s="7">
        <v>11519.0</v>
      </c>
    </row>
    <row r="384" ht="14.25" customHeight="1">
      <c r="A384" s="20">
        <v>43976.0</v>
      </c>
      <c r="B384" s="7" t="s">
        <v>21</v>
      </c>
      <c r="C384" s="7">
        <v>59.0</v>
      </c>
      <c r="D384" s="7">
        <v>12983.0</v>
      </c>
      <c r="E384" s="7">
        <v>12056.0</v>
      </c>
    </row>
    <row r="385" ht="14.25" customHeight="1">
      <c r="A385" s="20">
        <v>43976.0</v>
      </c>
      <c r="B385" s="7" t="s">
        <v>13</v>
      </c>
      <c r="C385" s="7">
        <v>20.0</v>
      </c>
      <c r="D385" s="7">
        <v>2011.0</v>
      </c>
      <c r="E385" s="7">
        <v>1791.0</v>
      </c>
    </row>
    <row r="386" ht="14.25" customHeight="1">
      <c r="A386" s="20">
        <v>43976.0</v>
      </c>
      <c r="B386" s="7" t="s">
        <v>23</v>
      </c>
      <c r="C386" s="7">
        <v>18.0</v>
      </c>
      <c r="D386" s="7">
        <v>989.0</v>
      </c>
      <c r="E386" s="7">
        <v>887.0</v>
      </c>
    </row>
    <row r="387" ht="14.25" customHeight="1">
      <c r="A387" s="20">
        <v>43976.0</v>
      </c>
      <c r="B387" s="7" t="s">
        <v>18</v>
      </c>
      <c r="C387" s="7">
        <v>17.0</v>
      </c>
      <c r="D387" s="7">
        <v>1142.0</v>
      </c>
      <c r="E387" s="7">
        <v>1020.0</v>
      </c>
    </row>
    <row r="388" ht="14.25" customHeight="1">
      <c r="A388" s="20">
        <v>43976.0</v>
      </c>
      <c r="B388" s="7" t="s">
        <v>19</v>
      </c>
      <c r="C388" s="7">
        <v>15.0</v>
      </c>
      <c r="D388" s="7">
        <v>835.0</v>
      </c>
      <c r="E388" s="7">
        <v>736.0</v>
      </c>
    </row>
    <row r="389" ht="14.25" customHeight="1">
      <c r="A389" s="20">
        <v>43976.0</v>
      </c>
      <c r="B389" s="7" t="s">
        <v>15</v>
      </c>
      <c r="C389" s="7">
        <v>124.0</v>
      </c>
      <c r="D389" s="7">
        <v>20358.0</v>
      </c>
      <c r="E389" s="7">
        <v>18890.0</v>
      </c>
    </row>
    <row r="390" ht="14.25" customHeight="1">
      <c r="A390" s="20">
        <v>43976.0</v>
      </c>
      <c r="B390" s="7" t="s">
        <v>14</v>
      </c>
      <c r="C390" s="7">
        <v>129.0</v>
      </c>
      <c r="D390" s="7">
        <v>15822.0</v>
      </c>
      <c r="E390" s="7">
        <v>14753.0</v>
      </c>
    </row>
    <row r="391" ht="14.25" customHeight="1">
      <c r="A391" s="20">
        <v>43976.0</v>
      </c>
      <c r="B391" s="7" t="s">
        <v>12</v>
      </c>
      <c r="C391" s="7">
        <v>10.0</v>
      </c>
      <c r="D391" s="7">
        <v>739.0</v>
      </c>
      <c r="E391" s="7">
        <v>642.0</v>
      </c>
    </row>
    <row r="392" ht="14.25" customHeight="1">
      <c r="A392" s="20">
        <v>43977.0</v>
      </c>
      <c r="B392" s="7" t="s">
        <v>16</v>
      </c>
      <c r="C392" s="7">
        <v>36.0</v>
      </c>
      <c r="D392" s="7">
        <v>4770.0</v>
      </c>
      <c r="E392" s="7">
        <v>4424.0</v>
      </c>
    </row>
    <row r="393" ht="14.25" customHeight="1">
      <c r="A393" s="20">
        <v>43977.0</v>
      </c>
      <c r="B393" s="7" t="s">
        <v>11</v>
      </c>
      <c r="C393" s="7">
        <v>31.0</v>
      </c>
      <c r="D393" s="7">
        <v>5493.0</v>
      </c>
      <c r="E393" s="7">
        <v>5119.0</v>
      </c>
    </row>
    <row r="394" ht="14.25" customHeight="1">
      <c r="A394" s="20">
        <v>43977.0</v>
      </c>
      <c r="B394" s="7" t="s">
        <v>17</v>
      </c>
      <c r="C394" s="7">
        <v>21.0</v>
      </c>
      <c r="D394" s="7">
        <v>2418.0</v>
      </c>
      <c r="E394" s="7">
        <v>2215.0</v>
      </c>
    </row>
    <row r="395" ht="14.25" customHeight="1">
      <c r="A395" s="20">
        <v>43977.0</v>
      </c>
      <c r="B395" s="7" t="s">
        <v>10</v>
      </c>
      <c r="C395" s="7">
        <v>20.0</v>
      </c>
      <c r="D395" s="7">
        <v>2044.0</v>
      </c>
      <c r="E395" s="7">
        <v>1863.0</v>
      </c>
    </row>
    <row r="396" ht="14.25" customHeight="1">
      <c r="A396" s="20">
        <v>43977.0</v>
      </c>
      <c r="B396" s="7" t="s">
        <v>20</v>
      </c>
      <c r="C396" s="7">
        <v>20.0</v>
      </c>
      <c r="D396" s="7">
        <v>1814.0</v>
      </c>
      <c r="E396" s="7">
        <v>1655.0</v>
      </c>
    </row>
    <row r="397" ht="14.25" customHeight="1">
      <c r="A397" s="20">
        <v>43977.0</v>
      </c>
      <c r="B397" s="7" t="s">
        <v>22</v>
      </c>
      <c r="C397" s="7">
        <v>54.0</v>
      </c>
      <c r="D397" s="7">
        <v>14482.0</v>
      </c>
      <c r="E397" s="7">
        <v>13510.0</v>
      </c>
    </row>
    <row r="398" ht="14.25" customHeight="1">
      <c r="A398" s="20">
        <v>43977.0</v>
      </c>
      <c r="B398" s="7" t="s">
        <v>21</v>
      </c>
      <c r="C398" s="7">
        <v>59.0</v>
      </c>
      <c r="D398" s="7">
        <v>15369.0</v>
      </c>
      <c r="E398" s="7">
        <v>14299.0</v>
      </c>
    </row>
    <row r="399" ht="14.25" customHeight="1">
      <c r="A399" s="20">
        <v>43977.0</v>
      </c>
      <c r="B399" s="7" t="s">
        <v>13</v>
      </c>
      <c r="C399" s="7">
        <v>20.0</v>
      </c>
      <c r="D399" s="7">
        <v>2036.0</v>
      </c>
      <c r="E399" s="7">
        <v>1790.0</v>
      </c>
    </row>
    <row r="400" ht="14.25" customHeight="1">
      <c r="A400" s="20">
        <v>43977.0</v>
      </c>
      <c r="B400" s="7" t="s">
        <v>23</v>
      </c>
      <c r="C400" s="7">
        <v>18.0</v>
      </c>
      <c r="D400" s="7">
        <v>914.0</v>
      </c>
      <c r="E400" s="7">
        <v>804.0</v>
      </c>
    </row>
    <row r="401" ht="14.25" customHeight="1">
      <c r="A401" s="20">
        <v>43977.0</v>
      </c>
      <c r="B401" s="7" t="s">
        <v>18</v>
      </c>
      <c r="C401" s="7">
        <v>17.0</v>
      </c>
      <c r="D401" s="7">
        <v>1140.0</v>
      </c>
      <c r="E401" s="7">
        <v>1016.0</v>
      </c>
    </row>
    <row r="402" ht="14.25" customHeight="1">
      <c r="A402" s="20">
        <v>43977.0</v>
      </c>
      <c r="B402" s="7" t="s">
        <v>19</v>
      </c>
      <c r="C402" s="7">
        <v>15.0</v>
      </c>
      <c r="D402" s="7">
        <v>812.0</v>
      </c>
      <c r="E402" s="7">
        <v>711.0</v>
      </c>
    </row>
    <row r="403" ht="14.25" customHeight="1">
      <c r="A403" s="20">
        <v>43977.0</v>
      </c>
      <c r="B403" s="7" t="s">
        <v>15</v>
      </c>
      <c r="C403" s="7">
        <v>124.0</v>
      </c>
      <c r="D403" s="7">
        <v>21153.0</v>
      </c>
      <c r="E403" s="7">
        <v>19673.0</v>
      </c>
    </row>
    <row r="404" ht="14.25" customHeight="1">
      <c r="A404" s="20">
        <v>43977.0</v>
      </c>
      <c r="B404" s="7" t="s">
        <v>14</v>
      </c>
      <c r="C404" s="7">
        <v>129.0</v>
      </c>
      <c r="D404" s="7">
        <v>16459.0</v>
      </c>
      <c r="E404" s="7">
        <v>15355.0</v>
      </c>
    </row>
    <row r="405" ht="14.25" customHeight="1">
      <c r="A405" s="20">
        <v>43977.0</v>
      </c>
      <c r="B405" s="7" t="s">
        <v>12</v>
      </c>
      <c r="C405" s="7">
        <v>10.0</v>
      </c>
      <c r="D405" s="7">
        <v>692.0</v>
      </c>
      <c r="E405" s="7">
        <v>601.0</v>
      </c>
    </row>
    <row r="406" ht="14.25" customHeight="1">
      <c r="A406" s="20">
        <v>43977.0</v>
      </c>
      <c r="B406" s="7" t="s">
        <v>24</v>
      </c>
      <c r="C406" s="7">
        <v>7.0</v>
      </c>
      <c r="D406" s="7">
        <v>577.0</v>
      </c>
      <c r="E406" s="7">
        <v>389.0</v>
      </c>
    </row>
    <row r="407" ht="14.25" customHeight="1">
      <c r="A407" s="20">
        <v>43978.0</v>
      </c>
      <c r="B407" s="7" t="s">
        <v>16</v>
      </c>
      <c r="C407" s="7">
        <v>36.0</v>
      </c>
      <c r="D407" s="7">
        <v>4951.0</v>
      </c>
      <c r="E407" s="7">
        <v>4584.0</v>
      </c>
    </row>
    <row r="408" ht="14.25" customHeight="1">
      <c r="A408" s="20">
        <v>43978.0</v>
      </c>
      <c r="B408" s="7" t="s">
        <v>11</v>
      </c>
      <c r="C408" s="7">
        <v>31.0</v>
      </c>
      <c r="D408" s="7">
        <v>5330.0</v>
      </c>
      <c r="E408" s="7">
        <v>4977.0</v>
      </c>
    </row>
    <row r="409" ht="14.25" customHeight="1">
      <c r="A409" s="20">
        <v>43978.0</v>
      </c>
      <c r="B409" s="7" t="s">
        <v>17</v>
      </c>
      <c r="C409" s="7">
        <v>21.0</v>
      </c>
      <c r="D409" s="7">
        <v>2430.0</v>
      </c>
      <c r="E409" s="7">
        <v>2216.0</v>
      </c>
    </row>
    <row r="410" ht="14.25" customHeight="1">
      <c r="A410" s="20">
        <v>43978.0</v>
      </c>
      <c r="B410" s="7" t="s">
        <v>10</v>
      </c>
      <c r="C410" s="7">
        <v>20.0</v>
      </c>
      <c r="D410" s="7">
        <v>2079.0</v>
      </c>
      <c r="E410" s="7">
        <v>1893.0</v>
      </c>
    </row>
    <row r="411" ht="14.25" customHeight="1">
      <c r="A411" s="20">
        <v>43978.0</v>
      </c>
      <c r="B411" s="7" t="s">
        <v>20</v>
      </c>
      <c r="C411" s="7">
        <v>20.0</v>
      </c>
      <c r="D411" s="7">
        <v>1873.0</v>
      </c>
      <c r="E411" s="7">
        <v>1715.0</v>
      </c>
    </row>
    <row r="412" ht="14.25" customHeight="1">
      <c r="A412" s="20">
        <v>43978.0</v>
      </c>
      <c r="B412" s="7" t="s">
        <v>22</v>
      </c>
      <c r="C412" s="7">
        <v>54.0</v>
      </c>
      <c r="D412" s="7">
        <v>13091.0</v>
      </c>
      <c r="E412" s="7">
        <v>12216.0</v>
      </c>
    </row>
    <row r="413" ht="14.25" customHeight="1">
      <c r="A413" s="20">
        <v>43978.0</v>
      </c>
      <c r="B413" s="7" t="s">
        <v>21</v>
      </c>
      <c r="C413" s="7">
        <v>59.0</v>
      </c>
      <c r="D413" s="7">
        <v>13942.0</v>
      </c>
      <c r="E413" s="7">
        <v>12986.0</v>
      </c>
    </row>
    <row r="414" ht="14.25" customHeight="1">
      <c r="A414" s="20">
        <v>43978.0</v>
      </c>
      <c r="B414" s="7" t="s">
        <v>13</v>
      </c>
      <c r="C414" s="7">
        <v>20.0</v>
      </c>
      <c r="D414" s="7">
        <v>2079.0</v>
      </c>
      <c r="E414" s="7">
        <v>1856.0</v>
      </c>
    </row>
    <row r="415" ht="14.25" customHeight="1">
      <c r="A415" s="20">
        <v>43978.0</v>
      </c>
      <c r="B415" s="7" t="s">
        <v>23</v>
      </c>
      <c r="C415" s="7">
        <v>18.0</v>
      </c>
      <c r="D415" s="7">
        <v>962.0</v>
      </c>
      <c r="E415" s="7">
        <v>859.0</v>
      </c>
    </row>
    <row r="416" ht="14.25" customHeight="1">
      <c r="A416" s="20">
        <v>43978.0</v>
      </c>
      <c r="B416" s="7" t="s">
        <v>18</v>
      </c>
      <c r="C416" s="7">
        <v>17.0</v>
      </c>
      <c r="D416" s="7">
        <v>1203.0</v>
      </c>
      <c r="E416" s="7">
        <v>1077.0</v>
      </c>
    </row>
    <row r="417" ht="14.25" customHeight="1">
      <c r="A417" s="20">
        <v>43978.0</v>
      </c>
      <c r="B417" s="7" t="s">
        <v>19</v>
      </c>
      <c r="C417" s="7">
        <v>15.0</v>
      </c>
      <c r="D417" s="7">
        <v>809.0</v>
      </c>
      <c r="E417" s="7">
        <v>702.0</v>
      </c>
    </row>
    <row r="418" ht="14.25" customHeight="1">
      <c r="A418" s="20">
        <v>43978.0</v>
      </c>
      <c r="B418" s="7" t="s">
        <v>15</v>
      </c>
      <c r="C418" s="7">
        <v>124.0</v>
      </c>
      <c r="D418" s="7">
        <v>21384.0</v>
      </c>
      <c r="E418" s="7">
        <v>19897.0</v>
      </c>
    </row>
    <row r="419" ht="14.25" customHeight="1">
      <c r="A419" s="20">
        <v>43978.0</v>
      </c>
      <c r="B419" s="7" t="s">
        <v>14</v>
      </c>
      <c r="C419" s="7">
        <v>129.0</v>
      </c>
      <c r="D419" s="7">
        <v>17115.0</v>
      </c>
      <c r="E419" s="7">
        <v>15962.0</v>
      </c>
    </row>
    <row r="420" ht="14.25" customHeight="1">
      <c r="A420" s="20">
        <v>43978.0</v>
      </c>
      <c r="B420" s="7" t="s">
        <v>12</v>
      </c>
      <c r="C420" s="7">
        <v>10.0</v>
      </c>
      <c r="D420" s="7">
        <v>757.0</v>
      </c>
      <c r="E420" s="7">
        <v>660.0</v>
      </c>
    </row>
    <row r="421" ht="14.25" customHeight="1">
      <c r="A421" s="20">
        <v>43978.0</v>
      </c>
      <c r="B421" s="7" t="s">
        <v>24</v>
      </c>
      <c r="C421" s="7">
        <v>7.0</v>
      </c>
      <c r="D421" s="7">
        <v>409.0</v>
      </c>
      <c r="E421" s="7">
        <v>329.0</v>
      </c>
    </row>
    <row r="422" ht="14.25" customHeight="1">
      <c r="A422" s="20">
        <v>43979.0</v>
      </c>
      <c r="B422" s="7" t="s">
        <v>16</v>
      </c>
      <c r="C422" s="7">
        <v>37.0</v>
      </c>
      <c r="D422" s="7">
        <v>4840.0</v>
      </c>
      <c r="E422" s="7">
        <v>4475.0</v>
      </c>
    </row>
    <row r="423" ht="14.25" customHeight="1">
      <c r="A423" s="20">
        <v>43979.0</v>
      </c>
      <c r="B423" s="7" t="s">
        <v>11</v>
      </c>
      <c r="C423" s="7">
        <v>31.0</v>
      </c>
      <c r="D423" s="7">
        <v>5355.0</v>
      </c>
      <c r="E423" s="7">
        <v>4969.0</v>
      </c>
    </row>
    <row r="424" ht="14.25" customHeight="1">
      <c r="A424" s="20">
        <v>43979.0</v>
      </c>
      <c r="B424" s="7" t="s">
        <v>17</v>
      </c>
      <c r="C424" s="7">
        <v>22.0</v>
      </c>
      <c r="D424" s="7">
        <v>2454.0</v>
      </c>
      <c r="E424" s="7">
        <v>2239.0</v>
      </c>
    </row>
    <row r="425" ht="14.25" customHeight="1">
      <c r="A425" s="20">
        <v>43979.0</v>
      </c>
      <c r="B425" s="7" t="s">
        <v>10</v>
      </c>
      <c r="C425" s="7">
        <v>20.0</v>
      </c>
      <c r="D425" s="7">
        <v>1886.0</v>
      </c>
      <c r="E425" s="7">
        <v>1736.0</v>
      </c>
    </row>
    <row r="426" ht="14.25" customHeight="1">
      <c r="A426" s="20">
        <v>43979.0</v>
      </c>
      <c r="B426" s="7" t="s">
        <v>20</v>
      </c>
      <c r="C426" s="7">
        <v>20.0</v>
      </c>
      <c r="D426" s="7">
        <v>1875.0</v>
      </c>
      <c r="E426" s="7">
        <v>1701.0</v>
      </c>
    </row>
    <row r="427" ht="14.25" customHeight="1">
      <c r="A427" s="20">
        <v>43979.0</v>
      </c>
      <c r="B427" s="7" t="s">
        <v>22</v>
      </c>
      <c r="C427" s="7">
        <v>54.0</v>
      </c>
      <c r="D427" s="7">
        <v>12409.0</v>
      </c>
      <c r="E427" s="7">
        <v>11582.0</v>
      </c>
    </row>
    <row r="428" ht="14.25" customHeight="1">
      <c r="A428" s="20">
        <v>43979.0</v>
      </c>
      <c r="B428" s="7" t="s">
        <v>21</v>
      </c>
      <c r="C428" s="7">
        <v>60.0</v>
      </c>
      <c r="D428" s="7">
        <v>12854.0</v>
      </c>
      <c r="E428" s="7">
        <v>11954.0</v>
      </c>
    </row>
    <row r="429" ht="14.25" customHeight="1">
      <c r="A429" s="20">
        <v>43979.0</v>
      </c>
      <c r="B429" s="7" t="s">
        <v>13</v>
      </c>
      <c r="C429" s="7">
        <v>20.0</v>
      </c>
      <c r="D429" s="7">
        <v>2088.0</v>
      </c>
      <c r="E429" s="7">
        <v>1848.0</v>
      </c>
    </row>
    <row r="430" ht="14.25" customHeight="1">
      <c r="A430" s="20">
        <v>43979.0</v>
      </c>
      <c r="B430" s="7" t="s">
        <v>23</v>
      </c>
      <c r="C430" s="7">
        <v>18.0</v>
      </c>
      <c r="D430" s="7">
        <v>1020.0</v>
      </c>
      <c r="E430" s="7">
        <v>911.0</v>
      </c>
    </row>
    <row r="431" ht="14.25" customHeight="1">
      <c r="A431" s="20">
        <v>43979.0</v>
      </c>
      <c r="B431" s="7" t="s">
        <v>18</v>
      </c>
      <c r="C431" s="7">
        <v>17.0</v>
      </c>
      <c r="D431" s="7">
        <v>1097.0</v>
      </c>
      <c r="E431" s="7">
        <v>968.0</v>
      </c>
    </row>
    <row r="432" ht="14.25" customHeight="1">
      <c r="A432" s="20">
        <v>43979.0</v>
      </c>
      <c r="B432" s="7" t="s">
        <v>19</v>
      </c>
      <c r="C432" s="7">
        <v>16.0</v>
      </c>
      <c r="D432" s="7">
        <v>876.0</v>
      </c>
      <c r="E432" s="7">
        <v>762.0</v>
      </c>
    </row>
    <row r="433" ht="14.25" customHeight="1">
      <c r="A433" s="20">
        <v>43979.0</v>
      </c>
      <c r="B433" s="7" t="s">
        <v>9</v>
      </c>
      <c r="C433" s="7">
        <v>15.0</v>
      </c>
      <c r="D433" s="7">
        <v>464.0</v>
      </c>
      <c r="E433" s="7">
        <v>390.0</v>
      </c>
    </row>
    <row r="434" ht="14.25" customHeight="1">
      <c r="A434" s="20">
        <v>43979.0</v>
      </c>
      <c r="B434" s="7" t="s">
        <v>15</v>
      </c>
      <c r="C434" s="7">
        <v>124.0</v>
      </c>
      <c r="D434" s="7">
        <v>20868.0</v>
      </c>
      <c r="E434" s="7">
        <v>19342.0</v>
      </c>
    </row>
    <row r="435" ht="14.25" customHeight="1">
      <c r="A435" s="20">
        <v>43979.0</v>
      </c>
      <c r="B435" s="7" t="s">
        <v>14</v>
      </c>
      <c r="C435" s="7">
        <v>129.0</v>
      </c>
      <c r="D435" s="7">
        <v>16453.0</v>
      </c>
      <c r="E435" s="7">
        <v>15289.0</v>
      </c>
    </row>
    <row r="436" ht="14.25" customHeight="1">
      <c r="A436" s="20">
        <v>43979.0</v>
      </c>
      <c r="B436" s="7" t="s">
        <v>12</v>
      </c>
      <c r="C436" s="7">
        <v>10.0</v>
      </c>
      <c r="D436" s="7">
        <v>791.0</v>
      </c>
      <c r="E436" s="7">
        <v>697.0</v>
      </c>
    </row>
    <row r="437" ht="14.25" customHeight="1">
      <c r="A437" s="20">
        <v>43979.0</v>
      </c>
      <c r="B437" s="7" t="s">
        <v>24</v>
      </c>
      <c r="C437" s="7">
        <v>7.0</v>
      </c>
      <c r="D437" s="7">
        <v>420.0</v>
      </c>
      <c r="E437" s="7">
        <v>347.0</v>
      </c>
    </row>
    <row r="438" ht="14.25" customHeight="1">
      <c r="A438" s="20">
        <v>43980.0</v>
      </c>
      <c r="B438" s="7" t="s">
        <v>16</v>
      </c>
      <c r="C438" s="7">
        <v>37.0</v>
      </c>
      <c r="D438" s="7">
        <v>5672.0</v>
      </c>
      <c r="E438" s="7">
        <v>5198.0</v>
      </c>
    </row>
    <row r="439" ht="14.25" customHeight="1">
      <c r="A439" s="20">
        <v>43980.0</v>
      </c>
      <c r="B439" s="7" t="s">
        <v>11</v>
      </c>
      <c r="C439" s="7">
        <v>31.0</v>
      </c>
      <c r="D439" s="7">
        <v>5751.0</v>
      </c>
      <c r="E439" s="7">
        <v>5319.0</v>
      </c>
    </row>
    <row r="440" ht="14.25" customHeight="1">
      <c r="A440" s="20">
        <v>43980.0</v>
      </c>
      <c r="B440" s="7" t="s">
        <v>17</v>
      </c>
      <c r="C440" s="7">
        <v>22.0</v>
      </c>
      <c r="D440" s="7">
        <v>2597.0</v>
      </c>
      <c r="E440" s="7">
        <v>2379.0</v>
      </c>
    </row>
    <row r="441" ht="14.25" customHeight="1">
      <c r="A441" s="20">
        <v>43980.0</v>
      </c>
      <c r="B441" s="7" t="s">
        <v>10</v>
      </c>
      <c r="C441" s="7">
        <v>20.0</v>
      </c>
      <c r="D441" s="7">
        <v>2111.0</v>
      </c>
      <c r="E441" s="7">
        <v>1917.0</v>
      </c>
    </row>
    <row r="442" ht="14.25" customHeight="1">
      <c r="A442" s="20">
        <v>43980.0</v>
      </c>
      <c r="B442" s="7" t="s">
        <v>20</v>
      </c>
      <c r="C442" s="7">
        <v>20.0</v>
      </c>
      <c r="D442" s="7">
        <v>2064.0</v>
      </c>
      <c r="E442" s="7">
        <v>1896.0</v>
      </c>
    </row>
    <row r="443" ht="14.25" customHeight="1">
      <c r="A443" s="20">
        <v>43980.0</v>
      </c>
      <c r="B443" s="7" t="s">
        <v>22</v>
      </c>
      <c r="C443" s="7">
        <v>54.0</v>
      </c>
      <c r="D443" s="7">
        <v>14031.0</v>
      </c>
      <c r="E443" s="7">
        <v>12943.0</v>
      </c>
    </row>
    <row r="444" ht="14.25" customHeight="1">
      <c r="A444" s="20">
        <v>43980.0</v>
      </c>
      <c r="B444" s="7" t="s">
        <v>21</v>
      </c>
      <c r="C444" s="7">
        <v>59.0</v>
      </c>
      <c r="D444" s="7">
        <v>14507.0</v>
      </c>
      <c r="E444" s="7">
        <v>13386.0</v>
      </c>
    </row>
    <row r="445" ht="14.25" customHeight="1">
      <c r="A445" s="20">
        <v>43980.0</v>
      </c>
      <c r="B445" s="7" t="s">
        <v>13</v>
      </c>
      <c r="C445" s="7">
        <v>20.0</v>
      </c>
      <c r="D445" s="7">
        <v>2249.0</v>
      </c>
      <c r="E445" s="7">
        <v>2000.0</v>
      </c>
    </row>
    <row r="446" ht="14.25" customHeight="1">
      <c r="A446" s="20">
        <v>43980.0</v>
      </c>
      <c r="B446" s="7" t="s">
        <v>23</v>
      </c>
      <c r="C446" s="7">
        <v>18.0</v>
      </c>
      <c r="D446" s="7">
        <v>1014.0</v>
      </c>
      <c r="E446" s="7">
        <v>893.0</v>
      </c>
    </row>
    <row r="447" ht="14.25" customHeight="1">
      <c r="A447" s="20">
        <v>43980.0</v>
      </c>
      <c r="B447" s="7" t="s">
        <v>18</v>
      </c>
      <c r="C447" s="7">
        <v>17.0</v>
      </c>
      <c r="D447" s="7">
        <v>1296.0</v>
      </c>
      <c r="E447" s="7">
        <v>1153.0</v>
      </c>
    </row>
    <row r="448" ht="14.25" customHeight="1">
      <c r="A448" s="20">
        <v>43980.0</v>
      </c>
      <c r="B448" s="7" t="s">
        <v>19</v>
      </c>
      <c r="C448" s="7">
        <v>16.0</v>
      </c>
      <c r="D448" s="7">
        <v>981.0</v>
      </c>
      <c r="E448" s="7">
        <v>859.0</v>
      </c>
    </row>
    <row r="449" ht="14.25" customHeight="1">
      <c r="A449" s="20">
        <v>43980.0</v>
      </c>
      <c r="B449" s="7" t="s">
        <v>9</v>
      </c>
      <c r="C449" s="7">
        <v>15.0</v>
      </c>
      <c r="D449" s="7">
        <v>400.0</v>
      </c>
      <c r="E449" s="7">
        <v>329.0</v>
      </c>
    </row>
    <row r="450" ht="14.25" customHeight="1">
      <c r="A450" s="20">
        <v>43980.0</v>
      </c>
      <c r="B450" s="7" t="s">
        <v>15</v>
      </c>
      <c r="C450" s="7">
        <v>124.0</v>
      </c>
      <c r="D450" s="7">
        <v>25828.0</v>
      </c>
      <c r="E450" s="7">
        <v>23974.0</v>
      </c>
    </row>
    <row r="451" ht="14.25" customHeight="1">
      <c r="A451" s="20">
        <v>43980.0</v>
      </c>
      <c r="B451" s="7" t="s">
        <v>14</v>
      </c>
      <c r="C451" s="7">
        <v>129.0</v>
      </c>
      <c r="D451" s="7">
        <v>22403.0</v>
      </c>
      <c r="E451" s="7">
        <v>20676.0</v>
      </c>
    </row>
    <row r="452" ht="14.25" customHeight="1">
      <c r="A452" s="20">
        <v>43980.0</v>
      </c>
      <c r="B452" s="7" t="s">
        <v>12</v>
      </c>
      <c r="C452" s="7">
        <v>10.0</v>
      </c>
      <c r="D452" s="7">
        <v>873.0</v>
      </c>
      <c r="E452" s="7">
        <v>770.0</v>
      </c>
    </row>
    <row r="453" ht="14.25" customHeight="1">
      <c r="A453" s="20">
        <v>43980.0</v>
      </c>
      <c r="B453" s="7" t="s">
        <v>24</v>
      </c>
      <c r="C453" s="7">
        <v>7.0</v>
      </c>
      <c r="D453" s="7">
        <v>491.0</v>
      </c>
      <c r="E453" s="7">
        <v>411.0</v>
      </c>
    </row>
    <row r="454" ht="14.25" customHeight="1">
      <c r="A454" s="20">
        <v>43981.0</v>
      </c>
      <c r="B454" s="7" t="s">
        <v>16</v>
      </c>
      <c r="C454" s="7">
        <v>37.0</v>
      </c>
      <c r="D454" s="7">
        <v>6645.0</v>
      </c>
      <c r="E454" s="7">
        <v>6122.0</v>
      </c>
    </row>
    <row r="455" ht="14.25" customHeight="1">
      <c r="A455" s="20">
        <v>43981.0</v>
      </c>
      <c r="B455" s="7" t="s">
        <v>11</v>
      </c>
      <c r="C455" s="7">
        <v>31.0</v>
      </c>
      <c r="D455" s="7">
        <v>6735.0</v>
      </c>
      <c r="E455" s="7">
        <v>6264.0</v>
      </c>
    </row>
    <row r="456" ht="14.25" customHeight="1">
      <c r="A456" s="20">
        <v>43981.0</v>
      </c>
      <c r="B456" s="7" t="s">
        <v>17</v>
      </c>
      <c r="C456" s="7">
        <v>22.0</v>
      </c>
      <c r="D456" s="7">
        <v>2793.0</v>
      </c>
      <c r="E456" s="7">
        <v>2539.0</v>
      </c>
    </row>
    <row r="457" ht="14.25" customHeight="1">
      <c r="A457" s="20">
        <v>43981.0</v>
      </c>
      <c r="B457" s="7" t="s">
        <v>10</v>
      </c>
      <c r="C457" s="7">
        <v>20.0</v>
      </c>
      <c r="D457" s="7">
        <v>2597.0</v>
      </c>
      <c r="E457" s="7">
        <v>2376.0</v>
      </c>
    </row>
    <row r="458" ht="14.25" customHeight="1">
      <c r="A458" s="20">
        <v>43981.0</v>
      </c>
      <c r="B458" s="7" t="s">
        <v>20</v>
      </c>
      <c r="C458" s="7">
        <v>20.0</v>
      </c>
      <c r="D458" s="7">
        <v>2174.0</v>
      </c>
      <c r="E458" s="7">
        <v>1957.0</v>
      </c>
    </row>
    <row r="459" ht="14.25" customHeight="1">
      <c r="A459" s="20">
        <v>43981.0</v>
      </c>
      <c r="B459" s="7" t="s">
        <v>22</v>
      </c>
      <c r="C459" s="7">
        <v>54.0</v>
      </c>
      <c r="D459" s="7">
        <v>14590.0</v>
      </c>
      <c r="E459" s="7">
        <v>13551.0</v>
      </c>
    </row>
    <row r="460" ht="14.25" customHeight="1">
      <c r="A460" s="20">
        <v>43981.0</v>
      </c>
      <c r="B460" s="7" t="s">
        <v>21</v>
      </c>
      <c r="C460" s="7">
        <v>59.0</v>
      </c>
      <c r="D460" s="7">
        <v>15030.0</v>
      </c>
      <c r="E460" s="7">
        <v>13956.0</v>
      </c>
    </row>
    <row r="461" ht="14.25" customHeight="1">
      <c r="A461" s="20">
        <v>43981.0</v>
      </c>
      <c r="B461" s="7" t="s">
        <v>13</v>
      </c>
      <c r="C461" s="7">
        <v>20.0</v>
      </c>
      <c r="D461" s="7">
        <v>2451.0</v>
      </c>
      <c r="E461" s="7">
        <v>2178.0</v>
      </c>
    </row>
    <row r="462" ht="14.25" customHeight="1">
      <c r="A462" s="20">
        <v>43981.0</v>
      </c>
      <c r="B462" s="7" t="s">
        <v>23</v>
      </c>
      <c r="C462" s="7">
        <v>18.0</v>
      </c>
      <c r="D462" s="7">
        <v>1216.0</v>
      </c>
      <c r="E462" s="7">
        <v>1101.0</v>
      </c>
    </row>
    <row r="463" ht="14.25" customHeight="1">
      <c r="A463" s="20">
        <v>43981.0</v>
      </c>
      <c r="B463" s="7" t="s">
        <v>18</v>
      </c>
      <c r="C463" s="7">
        <v>17.0</v>
      </c>
      <c r="D463" s="7">
        <v>1697.0</v>
      </c>
      <c r="E463" s="7">
        <v>1499.0</v>
      </c>
    </row>
    <row r="464" ht="14.25" customHeight="1">
      <c r="A464" s="20">
        <v>43981.0</v>
      </c>
      <c r="B464" s="7" t="s">
        <v>19</v>
      </c>
      <c r="C464" s="7">
        <v>16.0</v>
      </c>
      <c r="D464" s="7">
        <v>1048.0</v>
      </c>
      <c r="E464" s="7">
        <v>918.0</v>
      </c>
    </row>
    <row r="465" ht="14.25" customHeight="1">
      <c r="A465" s="20">
        <v>43981.0</v>
      </c>
      <c r="B465" s="7" t="s">
        <v>9</v>
      </c>
      <c r="C465" s="7">
        <v>15.0</v>
      </c>
      <c r="D465" s="7">
        <v>490.0</v>
      </c>
      <c r="E465" s="7">
        <v>409.0</v>
      </c>
    </row>
    <row r="466" ht="14.25" customHeight="1">
      <c r="A466" s="20">
        <v>43981.0</v>
      </c>
      <c r="B466" s="7" t="s">
        <v>15</v>
      </c>
      <c r="C466" s="7">
        <v>124.0</v>
      </c>
      <c r="D466" s="7">
        <v>24325.0</v>
      </c>
      <c r="E466" s="7">
        <v>22469.0</v>
      </c>
    </row>
    <row r="467" ht="14.25" customHeight="1">
      <c r="A467" s="20">
        <v>43981.0</v>
      </c>
      <c r="B467" s="7" t="s">
        <v>14</v>
      </c>
      <c r="C467" s="7">
        <v>129.0</v>
      </c>
      <c r="D467" s="7">
        <v>20243.0</v>
      </c>
      <c r="E467" s="7">
        <v>18711.0</v>
      </c>
    </row>
    <row r="468" ht="14.25" customHeight="1">
      <c r="A468" s="20">
        <v>43981.0</v>
      </c>
      <c r="B468" s="7" t="s">
        <v>12</v>
      </c>
      <c r="C468" s="7">
        <v>10.0</v>
      </c>
      <c r="D468" s="7">
        <v>865.0</v>
      </c>
      <c r="E468" s="7">
        <v>763.0</v>
      </c>
    </row>
    <row r="469" ht="14.25" customHeight="1">
      <c r="A469" s="20">
        <v>43981.0</v>
      </c>
      <c r="B469" s="7" t="s">
        <v>24</v>
      </c>
      <c r="C469" s="7">
        <v>7.0</v>
      </c>
      <c r="D469" s="7">
        <v>532.0</v>
      </c>
      <c r="E469" s="7">
        <v>449.0</v>
      </c>
    </row>
    <row r="470" ht="14.25" customHeight="1">
      <c r="A470" s="20">
        <v>43982.0</v>
      </c>
      <c r="B470" s="7" t="s">
        <v>16</v>
      </c>
      <c r="C470" s="7">
        <v>37.0</v>
      </c>
      <c r="D470" s="7">
        <v>5215.0</v>
      </c>
      <c r="E470" s="7">
        <v>4848.0</v>
      </c>
    </row>
    <row r="471" ht="14.25" customHeight="1">
      <c r="A471" s="20">
        <v>43982.0</v>
      </c>
      <c r="B471" s="7" t="s">
        <v>11</v>
      </c>
      <c r="C471" s="7">
        <v>31.0</v>
      </c>
      <c r="D471" s="7">
        <v>5760.0</v>
      </c>
      <c r="E471" s="7">
        <v>5367.0</v>
      </c>
    </row>
    <row r="472" ht="14.25" customHeight="1">
      <c r="A472" s="20">
        <v>43982.0</v>
      </c>
      <c r="B472" s="7" t="s">
        <v>17</v>
      </c>
      <c r="C472" s="7">
        <v>23.0</v>
      </c>
      <c r="D472" s="7">
        <v>2522.0</v>
      </c>
      <c r="E472" s="7">
        <v>2295.0</v>
      </c>
    </row>
    <row r="473" ht="14.25" customHeight="1">
      <c r="A473" s="20">
        <v>43982.0</v>
      </c>
      <c r="B473" s="7" t="s">
        <v>10</v>
      </c>
      <c r="C473" s="7">
        <v>21.0</v>
      </c>
      <c r="D473" s="7">
        <v>2271.0</v>
      </c>
      <c r="E473" s="7">
        <v>2085.0</v>
      </c>
    </row>
    <row r="474" ht="14.25" customHeight="1">
      <c r="A474" s="20">
        <v>43982.0</v>
      </c>
      <c r="B474" s="7" t="s">
        <v>20</v>
      </c>
      <c r="C474" s="7">
        <v>21.0</v>
      </c>
      <c r="D474" s="7">
        <v>2056.0</v>
      </c>
      <c r="E474" s="7">
        <v>1879.0</v>
      </c>
    </row>
    <row r="475" ht="14.25" customHeight="1">
      <c r="A475" s="20">
        <v>43982.0</v>
      </c>
      <c r="B475" s="7" t="s">
        <v>22</v>
      </c>
      <c r="C475" s="7">
        <v>54.0</v>
      </c>
      <c r="D475" s="7">
        <v>13106.0</v>
      </c>
      <c r="E475" s="7">
        <v>12164.0</v>
      </c>
    </row>
    <row r="476" ht="14.25" customHeight="1">
      <c r="A476" s="20">
        <v>43982.0</v>
      </c>
      <c r="B476" s="7" t="s">
        <v>21</v>
      </c>
      <c r="C476" s="7">
        <v>59.0</v>
      </c>
      <c r="D476" s="7">
        <v>13684.0</v>
      </c>
      <c r="E476" s="7">
        <v>12690.0</v>
      </c>
    </row>
    <row r="477" ht="14.25" customHeight="1">
      <c r="A477" s="20">
        <v>43982.0</v>
      </c>
      <c r="B477" s="7" t="s">
        <v>13</v>
      </c>
      <c r="C477" s="7">
        <v>20.0</v>
      </c>
      <c r="D477" s="7">
        <v>2060.0</v>
      </c>
      <c r="E477" s="7">
        <v>1826.0</v>
      </c>
    </row>
    <row r="478" ht="14.25" customHeight="1">
      <c r="A478" s="20">
        <v>43982.0</v>
      </c>
      <c r="B478" s="7" t="s">
        <v>23</v>
      </c>
      <c r="C478" s="7">
        <v>18.0</v>
      </c>
      <c r="D478" s="7">
        <v>1029.0</v>
      </c>
      <c r="E478" s="7">
        <v>925.0</v>
      </c>
    </row>
    <row r="479" ht="14.25" customHeight="1">
      <c r="A479" s="20">
        <v>43982.0</v>
      </c>
      <c r="B479" s="7" t="s">
        <v>18</v>
      </c>
      <c r="C479" s="7">
        <v>17.0</v>
      </c>
      <c r="D479" s="7">
        <v>1186.0</v>
      </c>
      <c r="E479" s="7">
        <v>1054.0</v>
      </c>
    </row>
    <row r="480" ht="14.25" customHeight="1">
      <c r="A480" s="20">
        <v>43982.0</v>
      </c>
      <c r="B480" s="7" t="s">
        <v>19</v>
      </c>
      <c r="C480" s="7">
        <v>16.0</v>
      </c>
      <c r="D480" s="7">
        <v>917.0</v>
      </c>
      <c r="E480" s="7">
        <v>802.0</v>
      </c>
    </row>
    <row r="481" ht="14.25" customHeight="1">
      <c r="A481" s="20">
        <v>43982.0</v>
      </c>
      <c r="B481" s="7" t="s">
        <v>9</v>
      </c>
      <c r="C481" s="7">
        <v>15.0</v>
      </c>
      <c r="D481" s="7">
        <v>441.0</v>
      </c>
      <c r="E481" s="7">
        <v>368.0</v>
      </c>
    </row>
    <row r="482" ht="14.25" customHeight="1">
      <c r="A482" s="20">
        <v>43982.0</v>
      </c>
      <c r="B482" s="7" t="s">
        <v>15</v>
      </c>
      <c r="C482" s="7">
        <v>124.0</v>
      </c>
      <c r="D482" s="7">
        <v>21392.0</v>
      </c>
      <c r="E482" s="7">
        <v>19869.0</v>
      </c>
    </row>
    <row r="483" ht="14.25" customHeight="1">
      <c r="A483" s="20">
        <v>43982.0</v>
      </c>
      <c r="B483" s="7" t="s">
        <v>14</v>
      </c>
      <c r="C483" s="7">
        <v>129.0</v>
      </c>
      <c r="D483" s="7">
        <v>17235.0</v>
      </c>
      <c r="E483" s="7">
        <v>16052.0</v>
      </c>
    </row>
    <row r="484" ht="14.25" customHeight="1">
      <c r="A484" s="20">
        <v>43982.0</v>
      </c>
      <c r="B484" s="7" t="s">
        <v>12</v>
      </c>
      <c r="C484" s="7">
        <v>10.0</v>
      </c>
      <c r="D484" s="7">
        <v>749.0</v>
      </c>
      <c r="E484" s="7">
        <v>655.0</v>
      </c>
    </row>
    <row r="485" ht="14.25" customHeight="1">
      <c r="A485" s="20">
        <v>43982.0</v>
      </c>
      <c r="B485" s="7" t="s">
        <v>25</v>
      </c>
      <c r="C485" s="7">
        <v>9.0</v>
      </c>
      <c r="D485" s="7">
        <v>345.0</v>
      </c>
      <c r="E485" s="7">
        <v>255.0</v>
      </c>
    </row>
    <row r="486" ht="14.25" customHeight="1">
      <c r="A486" s="20">
        <v>43982.0</v>
      </c>
      <c r="B486" s="7" t="s">
        <v>24</v>
      </c>
      <c r="C486" s="7">
        <v>7.0</v>
      </c>
      <c r="D486" s="7">
        <v>530.0</v>
      </c>
      <c r="E486" s="7">
        <v>447.0</v>
      </c>
    </row>
    <row r="487" ht="14.25" customHeight="1">
      <c r="A487" s="20">
        <v>43982.0</v>
      </c>
      <c r="B487" s="7" t="s">
        <v>26</v>
      </c>
      <c r="C487" s="7">
        <v>6.0</v>
      </c>
      <c r="D487" s="7">
        <v>261.0</v>
      </c>
      <c r="E487" s="7">
        <v>188.0</v>
      </c>
    </row>
    <row r="488" ht="14.25" customHeight="1">
      <c r="A488" s="20">
        <v>43983.0</v>
      </c>
      <c r="B488" s="7" t="s">
        <v>16</v>
      </c>
      <c r="C488" s="7">
        <v>37.0</v>
      </c>
      <c r="D488" s="7">
        <v>4722.0</v>
      </c>
      <c r="E488" s="7">
        <v>4352.0</v>
      </c>
    </row>
    <row r="489" ht="14.25" customHeight="1">
      <c r="A489" s="20">
        <v>43983.0</v>
      </c>
      <c r="B489" s="7" t="s">
        <v>11</v>
      </c>
      <c r="C489" s="7">
        <v>31.0</v>
      </c>
      <c r="D489" s="7">
        <v>5468.0</v>
      </c>
      <c r="E489" s="7">
        <v>5081.0</v>
      </c>
    </row>
    <row r="490" ht="14.25" customHeight="1">
      <c r="A490" s="20">
        <v>43983.0</v>
      </c>
      <c r="B490" s="7" t="s">
        <v>17</v>
      </c>
      <c r="C490" s="7">
        <v>23.0</v>
      </c>
      <c r="D490" s="7">
        <v>2531.0</v>
      </c>
      <c r="E490" s="7">
        <v>2296.0</v>
      </c>
    </row>
    <row r="491" ht="14.25" customHeight="1">
      <c r="A491" s="20">
        <v>43983.0</v>
      </c>
      <c r="B491" s="7" t="s">
        <v>10</v>
      </c>
      <c r="C491" s="7">
        <v>21.0</v>
      </c>
      <c r="D491" s="7">
        <v>2025.0</v>
      </c>
      <c r="E491" s="7">
        <v>1849.0</v>
      </c>
    </row>
    <row r="492" ht="14.25" customHeight="1">
      <c r="A492" s="20">
        <v>43983.0</v>
      </c>
      <c r="B492" s="7" t="s">
        <v>20</v>
      </c>
      <c r="C492" s="7">
        <v>21.0</v>
      </c>
      <c r="D492" s="7">
        <v>1879.0</v>
      </c>
      <c r="E492" s="7">
        <v>1720.0</v>
      </c>
    </row>
    <row r="493" ht="14.25" customHeight="1">
      <c r="A493" s="20">
        <v>43983.0</v>
      </c>
      <c r="B493" s="7" t="s">
        <v>22</v>
      </c>
      <c r="C493" s="7">
        <v>54.0</v>
      </c>
      <c r="D493" s="7">
        <v>11864.0</v>
      </c>
      <c r="E493" s="7">
        <v>11071.0</v>
      </c>
    </row>
    <row r="494" ht="14.25" customHeight="1">
      <c r="A494" s="20">
        <v>43983.0</v>
      </c>
      <c r="B494" s="7" t="s">
        <v>21</v>
      </c>
      <c r="C494" s="7">
        <v>59.0</v>
      </c>
      <c r="D494" s="7">
        <v>12299.0</v>
      </c>
      <c r="E494" s="7">
        <v>11448.0</v>
      </c>
    </row>
    <row r="495" ht="14.25" customHeight="1">
      <c r="A495" s="20">
        <v>43983.0</v>
      </c>
      <c r="B495" s="7" t="s">
        <v>13</v>
      </c>
      <c r="C495" s="7">
        <v>20.0</v>
      </c>
      <c r="D495" s="7">
        <v>2136.0</v>
      </c>
      <c r="E495" s="7">
        <v>1899.0</v>
      </c>
    </row>
    <row r="496" ht="14.25" customHeight="1">
      <c r="A496" s="20">
        <v>43983.0</v>
      </c>
      <c r="B496" s="7" t="s">
        <v>23</v>
      </c>
      <c r="C496" s="7">
        <v>18.0</v>
      </c>
      <c r="D496" s="7">
        <v>923.0</v>
      </c>
      <c r="E496" s="7">
        <v>824.0</v>
      </c>
    </row>
    <row r="497" ht="14.25" customHeight="1">
      <c r="A497" s="20">
        <v>43983.0</v>
      </c>
      <c r="B497" s="7" t="s">
        <v>18</v>
      </c>
      <c r="C497" s="7">
        <v>17.0</v>
      </c>
      <c r="D497" s="7">
        <v>1185.0</v>
      </c>
      <c r="E497" s="7">
        <v>1042.0</v>
      </c>
    </row>
    <row r="498" ht="14.25" customHeight="1">
      <c r="A498" s="20">
        <v>43983.0</v>
      </c>
      <c r="B498" s="7" t="s">
        <v>19</v>
      </c>
      <c r="C498" s="7">
        <v>16.0</v>
      </c>
      <c r="D498" s="7">
        <v>1019.0</v>
      </c>
      <c r="E498" s="7">
        <v>895.0</v>
      </c>
    </row>
    <row r="499" ht="14.25" customHeight="1">
      <c r="A499" s="20">
        <v>43983.0</v>
      </c>
      <c r="B499" s="7" t="s">
        <v>9</v>
      </c>
      <c r="C499" s="7">
        <v>15.0</v>
      </c>
      <c r="D499" s="7">
        <v>453.0</v>
      </c>
      <c r="E499" s="7">
        <v>370.0</v>
      </c>
    </row>
    <row r="500" ht="14.25" customHeight="1">
      <c r="A500" s="20">
        <v>43983.0</v>
      </c>
      <c r="B500" s="7" t="s">
        <v>15</v>
      </c>
      <c r="C500" s="7">
        <v>123.0</v>
      </c>
      <c r="D500" s="7">
        <v>20325.0</v>
      </c>
      <c r="E500" s="7">
        <v>18935.0</v>
      </c>
    </row>
    <row r="501" ht="14.25" customHeight="1">
      <c r="A501" s="20">
        <v>43983.0</v>
      </c>
      <c r="B501" s="7" t="s">
        <v>14</v>
      </c>
      <c r="C501" s="7">
        <v>128.0</v>
      </c>
      <c r="D501" s="7">
        <v>16285.0</v>
      </c>
      <c r="E501" s="7">
        <v>15130.0</v>
      </c>
    </row>
    <row r="502" ht="14.25" customHeight="1">
      <c r="A502" s="20">
        <v>43983.0</v>
      </c>
      <c r="B502" s="7" t="s">
        <v>12</v>
      </c>
      <c r="C502" s="7">
        <v>10.0</v>
      </c>
      <c r="D502" s="7">
        <v>719.0</v>
      </c>
      <c r="E502" s="7">
        <v>627.0</v>
      </c>
    </row>
    <row r="503" ht="14.25" customHeight="1">
      <c r="A503" s="20">
        <v>43983.0</v>
      </c>
      <c r="B503" s="7" t="s">
        <v>25</v>
      </c>
      <c r="C503" s="7">
        <v>9.0</v>
      </c>
      <c r="D503" s="7">
        <v>294.0</v>
      </c>
      <c r="E503" s="7">
        <v>224.0</v>
      </c>
    </row>
    <row r="504" ht="14.25" customHeight="1">
      <c r="A504" s="20">
        <v>43983.0</v>
      </c>
      <c r="B504" s="7" t="s">
        <v>24</v>
      </c>
      <c r="C504" s="7">
        <v>7.0</v>
      </c>
      <c r="D504" s="7">
        <v>500.0</v>
      </c>
      <c r="E504" s="7">
        <v>418.0</v>
      </c>
    </row>
    <row r="505" ht="14.25" customHeight="1">
      <c r="A505" s="20">
        <v>43983.0</v>
      </c>
      <c r="B505" s="7" t="s">
        <v>26</v>
      </c>
      <c r="C505" s="7">
        <v>6.0</v>
      </c>
      <c r="D505" s="7">
        <v>237.0</v>
      </c>
      <c r="E505" s="7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